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dzou\Desktop\2023-06\SCTASK0398597\"/>
    </mc:Choice>
  </mc:AlternateContent>
  <xr:revisionPtr revIDLastSave="0" documentId="13_ncr:1_{E6F233A7-26AF-4758-B4FF-9E13156A8D6D}" xr6:coauthVersionLast="47" xr6:coauthVersionMax="47" xr10:uidLastSave="{00000000-0000-0000-0000-000000000000}"/>
  <bookViews>
    <workbookView xWindow="-38520" yWindow="660" windowWidth="38640" windowHeight="21120" tabRatio="771" firstSheet="1" activeTab="1" xr2:uid="{00000000-000D-0000-FFFF-FFFF00000000}"/>
  </bookViews>
  <sheets>
    <sheet name="Lynn" sheetId="20" state="hidden" r:id="rId1"/>
    <sheet name="ComplySum" sheetId="17" r:id="rId2"/>
    <sheet name="funccodes" sheetId="4" state="hidden" r:id="rId3"/>
  </sheets>
  <externalReferences>
    <externalReference r:id="rId4"/>
  </externalReferences>
  <definedNames>
    <definedName name="_xlnm._FilterDatabase" localSheetId="2" hidden="1">funccodes!$A$1:$C$138</definedName>
    <definedName name="_xlnm.Print_Area" localSheetId="0">Lynn!$A$1:$K$63</definedName>
    <definedName name="Web_leas">OFFSET([1]Web_Status!$D$1:$D$65536,9,0,COUNTA([1]Web_Status!$D$1:$D$65536))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27" i="17" l="1"/>
  <c r="M327" i="17"/>
  <c r="K327" i="17"/>
  <c r="J327" i="17"/>
  <c r="G327" i="17"/>
  <c r="E327" i="17"/>
  <c r="D327" i="17"/>
  <c r="C327" i="17"/>
  <c r="F327" i="17" l="1"/>
  <c r="P327" i="17"/>
  <c r="L327" i="17"/>
  <c r="H327" i="17"/>
  <c r="N327" i="17"/>
  <c r="S23" i="20" l="1"/>
  <c r="R23" i="20"/>
  <c r="T32" i="20" s="1"/>
  <c r="T33" i="20" s="1"/>
  <c r="Q55" i="20"/>
  <c r="Q56" i="20" s="1"/>
  <c r="Q57" i="20" s="1"/>
  <c r="R25" i="20"/>
  <c r="R26" i="20" s="1"/>
  <c r="E54" i="20"/>
  <c r="E56" i="20" s="1"/>
  <c r="D61" i="20"/>
  <c r="D46" i="20" s="1"/>
  <c r="D50" i="20"/>
  <c r="E50" i="20" s="1"/>
  <c r="E51" i="20" s="1"/>
  <c r="F25" i="20"/>
  <c r="F26" i="20" s="1"/>
  <c r="F27" i="20" s="1"/>
  <c r="E55" i="20"/>
  <c r="E46" i="20"/>
  <c r="E47" i="20" s="1"/>
  <c r="E53" i="20" s="1"/>
  <c r="D47" i="20"/>
  <c r="D51" i="20"/>
  <c r="R27" i="20" l="1"/>
  <c r="D53" i="20"/>
  <c r="F28" i="20"/>
  <c r="F30" i="20"/>
  <c r="E57" i="20"/>
  <c r="F57" i="20" s="1"/>
  <c r="R30" i="20" l="1"/>
  <c r="R28"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mxk</author>
  </authors>
  <commentList>
    <comment ref="F25" authorId="0" shapeId="0" xr:uid="{00000000-0006-0000-0200-000001000000}">
      <text>
        <r>
          <rPr>
            <b/>
            <sz val="9"/>
            <color indexed="81"/>
            <rFont val="Tahoma"/>
            <family val="2"/>
          </rPr>
          <t>mxk:</t>
        </r>
        <r>
          <rPr>
            <sz val="9"/>
            <color indexed="81"/>
            <rFont val="Tahoma"/>
            <family val="2"/>
          </rPr>
          <t xml:space="preserve">
8795990
</t>
        </r>
      </text>
    </comment>
  </commentList>
</comments>
</file>

<file path=xl/sharedStrings.xml><?xml version="1.0" encoding="utf-8"?>
<sst xmlns="http://schemas.openxmlformats.org/spreadsheetml/2006/main" count="1257" uniqueCount="1038">
  <si>
    <t>0001</t>
  </si>
  <si>
    <t>0005</t>
  </si>
  <si>
    <t>0007</t>
  </si>
  <si>
    <t>0008</t>
  </si>
  <si>
    <t>0009</t>
  </si>
  <si>
    <t>0010</t>
  </si>
  <si>
    <t>0014</t>
  </si>
  <si>
    <t>0016</t>
  </si>
  <si>
    <t>0017</t>
  </si>
  <si>
    <t>0018</t>
  </si>
  <si>
    <t>0020</t>
  </si>
  <si>
    <t>0024</t>
  </si>
  <si>
    <t>0025</t>
  </si>
  <si>
    <t>0026</t>
  </si>
  <si>
    <t>0027</t>
  </si>
  <si>
    <t>0030</t>
  </si>
  <si>
    <t>0031</t>
  </si>
  <si>
    <t>0035</t>
  </si>
  <si>
    <t>0036</t>
  </si>
  <si>
    <t>0038</t>
  </si>
  <si>
    <t>0040</t>
  </si>
  <si>
    <t>0041</t>
  </si>
  <si>
    <t>0043</t>
  </si>
  <si>
    <t>0044</t>
  </si>
  <si>
    <t>0045</t>
  </si>
  <si>
    <t>0046</t>
  </si>
  <si>
    <t>0048</t>
  </si>
  <si>
    <t>0049</t>
  </si>
  <si>
    <t>0050</t>
  </si>
  <si>
    <t>0051</t>
  </si>
  <si>
    <t>0052</t>
  </si>
  <si>
    <t>0057</t>
  </si>
  <si>
    <t>0061</t>
  </si>
  <si>
    <t>0063</t>
  </si>
  <si>
    <t>0065</t>
  </si>
  <si>
    <t>0067</t>
  </si>
  <si>
    <t>0068</t>
  </si>
  <si>
    <t>0071</t>
  </si>
  <si>
    <t>0072</t>
  </si>
  <si>
    <t>0073</t>
  </si>
  <si>
    <t>0077</t>
  </si>
  <si>
    <t>0078</t>
  </si>
  <si>
    <t>0079</t>
  </si>
  <si>
    <t>0083</t>
  </si>
  <si>
    <t>0085</t>
  </si>
  <si>
    <t>0086</t>
  </si>
  <si>
    <t>0087</t>
  </si>
  <si>
    <t>0088</t>
  </si>
  <si>
    <t>0091</t>
  </si>
  <si>
    <t>0093</t>
  </si>
  <si>
    <t>0094</t>
  </si>
  <si>
    <t>0096</t>
  </si>
  <si>
    <t>0098</t>
  </si>
  <si>
    <t>0100</t>
  </si>
  <si>
    <t>0101</t>
  </si>
  <si>
    <t>0103</t>
  </si>
  <si>
    <t>0105</t>
  </si>
  <si>
    <t>0107</t>
  </si>
  <si>
    <t>0114</t>
  </si>
  <si>
    <t>0117</t>
  </si>
  <si>
    <t>0118</t>
  </si>
  <si>
    <t>0121</t>
  </si>
  <si>
    <t>0122</t>
  </si>
  <si>
    <t>0125</t>
  </si>
  <si>
    <t>0127</t>
  </si>
  <si>
    <t>0128</t>
  </si>
  <si>
    <t>0131</t>
  </si>
  <si>
    <t>0133</t>
  </si>
  <si>
    <t>0135</t>
  </si>
  <si>
    <t>0136</t>
  </si>
  <si>
    <t>0138</t>
  </si>
  <si>
    <t>0139</t>
  </si>
  <si>
    <t>0141</t>
  </si>
  <si>
    <t>0142</t>
  </si>
  <si>
    <t>0144</t>
  </si>
  <si>
    <t>0149</t>
  </si>
  <si>
    <t>0150</t>
  </si>
  <si>
    <t>0151</t>
  </si>
  <si>
    <t>0152</t>
  </si>
  <si>
    <t>0153</t>
  </si>
  <si>
    <t>0154</t>
  </si>
  <si>
    <t>0155</t>
  </si>
  <si>
    <t>0157</t>
  </si>
  <si>
    <t>0158</t>
  </si>
  <si>
    <t>0159</t>
  </si>
  <si>
    <t>0160</t>
  </si>
  <si>
    <t>0161</t>
  </si>
  <si>
    <t>0163</t>
  </si>
  <si>
    <t>0164</t>
  </si>
  <si>
    <t>0165</t>
  </si>
  <si>
    <t>0167</t>
  </si>
  <si>
    <t>0168</t>
  </si>
  <si>
    <t>0169</t>
  </si>
  <si>
    <t>0170</t>
  </si>
  <si>
    <t>0171</t>
  </si>
  <si>
    <t>0172</t>
  </si>
  <si>
    <t>0173</t>
  </si>
  <si>
    <t>0174</t>
  </si>
  <si>
    <t>0175</t>
  </si>
  <si>
    <t>0177</t>
  </si>
  <si>
    <t>0178</t>
  </si>
  <si>
    <t>0181</t>
  </si>
  <si>
    <t>0182</t>
  </si>
  <si>
    <t>0184</t>
  </si>
  <si>
    <t>0185</t>
  </si>
  <si>
    <t>0186</t>
  </si>
  <si>
    <t>0187</t>
  </si>
  <si>
    <t>0189</t>
  </si>
  <si>
    <t>0196</t>
  </si>
  <si>
    <t>0197</t>
  </si>
  <si>
    <t>0201</t>
  </si>
  <si>
    <t>0204</t>
  </si>
  <si>
    <t>0207</t>
  </si>
  <si>
    <t>0208</t>
  </si>
  <si>
    <t>0209</t>
  </si>
  <si>
    <t>0210</t>
  </si>
  <si>
    <t>0211</t>
  </si>
  <si>
    <t>0213</t>
  </si>
  <si>
    <t>0214</t>
  </si>
  <si>
    <t>0215</t>
  </si>
  <si>
    <t>0217</t>
  </si>
  <si>
    <t>0218</t>
  </si>
  <si>
    <t>0219</t>
  </si>
  <si>
    <t>0220</t>
  </si>
  <si>
    <t>0223</t>
  </si>
  <si>
    <t>0224</t>
  </si>
  <si>
    <t>0226</t>
  </si>
  <si>
    <t>0227</t>
  </si>
  <si>
    <t>0230</t>
  </si>
  <si>
    <t>0231</t>
  </si>
  <si>
    <t>0234</t>
  </si>
  <si>
    <t>0236</t>
  </si>
  <si>
    <t>0238</t>
  </si>
  <si>
    <t>0239</t>
  </si>
  <si>
    <t>0240</t>
  </si>
  <si>
    <t>0242</t>
  </si>
  <si>
    <t>0243</t>
  </si>
  <si>
    <t>0246</t>
  </si>
  <si>
    <t>0248</t>
  </si>
  <si>
    <t>0249</t>
  </si>
  <si>
    <t>0250</t>
  </si>
  <si>
    <t>0251</t>
  </si>
  <si>
    <t>0252</t>
  </si>
  <si>
    <t>0253</t>
  </si>
  <si>
    <t>0258</t>
  </si>
  <si>
    <t>0261</t>
  </si>
  <si>
    <t>0262</t>
  </si>
  <si>
    <t>0263</t>
  </si>
  <si>
    <t>0264</t>
  </si>
  <si>
    <t>0265</t>
  </si>
  <si>
    <t>0266</t>
  </si>
  <si>
    <t>0269</t>
  </si>
  <si>
    <t>0271</t>
  </si>
  <si>
    <t>0272</t>
  </si>
  <si>
    <t>0273</t>
  </si>
  <si>
    <t>0274</t>
  </si>
  <si>
    <t>0275</t>
  </si>
  <si>
    <t>0276</t>
  </si>
  <si>
    <t>0278</t>
  </si>
  <si>
    <t>0281</t>
  </si>
  <si>
    <t>0284</t>
  </si>
  <si>
    <t>0285</t>
  </si>
  <si>
    <t>0287</t>
  </si>
  <si>
    <t>0288</t>
  </si>
  <si>
    <t>0289</t>
  </si>
  <si>
    <t>0290</t>
  </si>
  <si>
    <t>0291</t>
  </si>
  <si>
    <t>0292</t>
  </si>
  <si>
    <t>0293</t>
  </si>
  <si>
    <t>0295</t>
  </si>
  <si>
    <t>0298</t>
  </si>
  <si>
    <t>0300</t>
  </si>
  <si>
    <t>0301</t>
  </si>
  <si>
    <t>0304</t>
  </si>
  <si>
    <t>0305</t>
  </si>
  <si>
    <t>0306</t>
  </si>
  <si>
    <t>0307</t>
  </si>
  <si>
    <t>0308</t>
  </si>
  <si>
    <t>0309</t>
  </si>
  <si>
    <t>0310</t>
  </si>
  <si>
    <t>0315</t>
  </si>
  <si>
    <t>0317</t>
  </si>
  <si>
    <t>0318</t>
  </si>
  <si>
    <t>0321</t>
  </si>
  <si>
    <t>0322</t>
  </si>
  <si>
    <t>0323</t>
  </si>
  <si>
    <t>0325</t>
  </si>
  <si>
    <t>0326</t>
  </si>
  <si>
    <t>0327</t>
  </si>
  <si>
    <t>0330</t>
  </si>
  <si>
    <t>0331</t>
  </si>
  <si>
    <t>0332</t>
  </si>
  <si>
    <t>0335</t>
  </si>
  <si>
    <t>0336</t>
  </si>
  <si>
    <t>0337</t>
  </si>
  <si>
    <t>0340</t>
  </si>
  <si>
    <t>0342</t>
  </si>
  <si>
    <t>0344</t>
  </si>
  <si>
    <t>0346</t>
  </si>
  <si>
    <t>0347</t>
  </si>
  <si>
    <t>Woburn</t>
  </si>
  <si>
    <t>0348</t>
  </si>
  <si>
    <t>0350</t>
  </si>
  <si>
    <t>0406</t>
  </si>
  <si>
    <t>0600</t>
  </si>
  <si>
    <t>0603</t>
  </si>
  <si>
    <t>0605</t>
  </si>
  <si>
    <t>0610</t>
  </si>
  <si>
    <t>0615</t>
  </si>
  <si>
    <t>0616</t>
  </si>
  <si>
    <t>Ayer Shirley</t>
  </si>
  <si>
    <t>0618</t>
  </si>
  <si>
    <t>0620</t>
  </si>
  <si>
    <t>0622</t>
  </si>
  <si>
    <t>0625</t>
  </si>
  <si>
    <t>0632</t>
  </si>
  <si>
    <t>0635</t>
  </si>
  <si>
    <t>0640</t>
  </si>
  <si>
    <t>0645</t>
  </si>
  <si>
    <t>0650</t>
  </si>
  <si>
    <t>0655</t>
  </si>
  <si>
    <t>0658</t>
  </si>
  <si>
    <t>0660</t>
  </si>
  <si>
    <t>0662</t>
  </si>
  <si>
    <t>Farmington River</t>
  </si>
  <si>
    <t>0665</t>
  </si>
  <si>
    <t>0670</t>
  </si>
  <si>
    <t>0672</t>
  </si>
  <si>
    <t>0673</t>
  </si>
  <si>
    <t>0674</t>
  </si>
  <si>
    <t>0675</t>
  </si>
  <si>
    <t>0680</t>
  </si>
  <si>
    <t>0683</t>
  </si>
  <si>
    <t>0685</t>
  </si>
  <si>
    <t>0690</t>
  </si>
  <si>
    <t>0695</t>
  </si>
  <si>
    <t>0700</t>
  </si>
  <si>
    <t>0705</t>
  </si>
  <si>
    <t>0710</t>
  </si>
  <si>
    <t>0712</t>
  </si>
  <si>
    <t>Monomoy</t>
  </si>
  <si>
    <t>0715</t>
  </si>
  <si>
    <t>0717</t>
  </si>
  <si>
    <t>0720</t>
  </si>
  <si>
    <t>0728</t>
  </si>
  <si>
    <t>0730</t>
  </si>
  <si>
    <t>0735</t>
  </si>
  <si>
    <t>0740</t>
  </si>
  <si>
    <t>0745</t>
  </si>
  <si>
    <t>0750</t>
  </si>
  <si>
    <t>0753</t>
  </si>
  <si>
    <t>0755</t>
  </si>
  <si>
    <t>0763</t>
  </si>
  <si>
    <t>Somerset Berkley</t>
  </si>
  <si>
    <t>0765</t>
  </si>
  <si>
    <t>0766</t>
  </si>
  <si>
    <t>0767</t>
  </si>
  <si>
    <t>0770</t>
  </si>
  <si>
    <t>0774</t>
  </si>
  <si>
    <t>0775</t>
  </si>
  <si>
    <t>0801</t>
  </si>
  <si>
    <t>0805</t>
  </si>
  <si>
    <t>0806</t>
  </si>
  <si>
    <t>0810</t>
  </si>
  <si>
    <t>0815</t>
  </si>
  <si>
    <t>0817</t>
  </si>
  <si>
    <t>0818</t>
  </si>
  <si>
    <t>0821</t>
  </si>
  <si>
    <t>0823</t>
  </si>
  <si>
    <t>0825</t>
  </si>
  <si>
    <t>0828</t>
  </si>
  <si>
    <t>0829</t>
  </si>
  <si>
    <t>0832</t>
  </si>
  <si>
    <t>0851</t>
  </si>
  <si>
    <t>0852</t>
  </si>
  <si>
    <t>0853</t>
  </si>
  <si>
    <t>0855</t>
  </si>
  <si>
    <t>0860</t>
  </si>
  <si>
    <t>0871</t>
  </si>
  <si>
    <t>0872</t>
  </si>
  <si>
    <t>0873</t>
  </si>
  <si>
    <t>0876</t>
  </si>
  <si>
    <t>0878</t>
  </si>
  <si>
    <t>0879</t>
  </si>
  <si>
    <t>0885</t>
  </si>
  <si>
    <t>0910</t>
  </si>
  <si>
    <t>0915</t>
  </si>
  <si>
    <t/>
  </si>
  <si>
    <t>FuncCode</t>
  </si>
  <si>
    <t>FuncName</t>
  </si>
  <si>
    <t>1210</t>
  </si>
  <si>
    <t>Superintendent</t>
  </si>
  <si>
    <t>1410</t>
  </si>
  <si>
    <t>Business and Finance</t>
  </si>
  <si>
    <t>1420</t>
  </si>
  <si>
    <t>Human Resources and Benefits</t>
  </si>
  <si>
    <t>1430</t>
  </si>
  <si>
    <t>Legal Service for School Committee</t>
  </si>
  <si>
    <t>1450</t>
  </si>
  <si>
    <t>District-wide Information Mgmt &amp; Tech</t>
  </si>
  <si>
    <t>2110</t>
  </si>
  <si>
    <t>Curriculum Directors  (Supervisory)</t>
  </si>
  <si>
    <t>2210</t>
  </si>
  <si>
    <t>School Leadership</t>
  </si>
  <si>
    <t>2250</t>
  </si>
  <si>
    <t>Admin. Technology (School Level)</t>
  </si>
  <si>
    <t>2305</t>
  </si>
  <si>
    <t>Teachers, Classroom</t>
  </si>
  <si>
    <t>2310</t>
  </si>
  <si>
    <t>Teachers, Specialists</t>
  </si>
  <si>
    <t>2320</t>
  </si>
  <si>
    <t>Medical/ Therapeutic Services</t>
  </si>
  <si>
    <t>2325</t>
  </si>
  <si>
    <t>Substitute Teachers</t>
  </si>
  <si>
    <t>2330</t>
  </si>
  <si>
    <t>Paraprofessionals</t>
  </si>
  <si>
    <t>2340</t>
  </si>
  <si>
    <t>Librarians/Media Center Directors</t>
  </si>
  <si>
    <t>2351</t>
  </si>
  <si>
    <t>Professional Development Leadership</t>
  </si>
  <si>
    <t>2353</t>
  </si>
  <si>
    <t>Instructional Staff-Professional Days</t>
  </si>
  <si>
    <t>2357</t>
  </si>
  <si>
    <t>Prof. Dev. Stipends, Providers, Expenses</t>
  </si>
  <si>
    <t>2410</t>
  </si>
  <si>
    <t>Textbooks, Related Software/Media/Matls</t>
  </si>
  <si>
    <t>2415</t>
  </si>
  <si>
    <t>Other Instructional Matls (Libraries)</t>
  </si>
  <si>
    <t>2420</t>
  </si>
  <si>
    <t>Instructional Equipment</t>
  </si>
  <si>
    <t>2430</t>
  </si>
  <si>
    <t>General Classroom Supplies</t>
  </si>
  <si>
    <t>2440</t>
  </si>
  <si>
    <t>Other Instructional Services</t>
  </si>
  <si>
    <t>2451</t>
  </si>
  <si>
    <t>Classroom Instructional Technology</t>
  </si>
  <si>
    <t>2453</t>
  </si>
  <si>
    <t>Other Instructional Hardware (Libraries)</t>
  </si>
  <si>
    <t>2455</t>
  </si>
  <si>
    <t>Instructional Software</t>
  </si>
  <si>
    <t>2710</t>
  </si>
  <si>
    <t>Guidance incl Adjustment Counselors</t>
  </si>
  <si>
    <t>2720</t>
  </si>
  <si>
    <t>Testing and Assessment</t>
  </si>
  <si>
    <t>2800</t>
  </si>
  <si>
    <t>Psychological Services</t>
  </si>
  <si>
    <t>3200</t>
  </si>
  <si>
    <t>Medical/Health Services</t>
  </si>
  <si>
    <t>3300</t>
  </si>
  <si>
    <t>Transportation Services</t>
  </si>
  <si>
    <t>3400</t>
  </si>
  <si>
    <t>Food Services</t>
  </si>
  <si>
    <t>3510</t>
  </si>
  <si>
    <t>Athletics</t>
  </si>
  <si>
    <t>3520</t>
  </si>
  <si>
    <t>Other Student Activities</t>
  </si>
  <si>
    <t>3600</t>
  </si>
  <si>
    <t>School Security</t>
  </si>
  <si>
    <t>4110</t>
  </si>
  <si>
    <t>Custodial Services</t>
  </si>
  <si>
    <t>4120</t>
  </si>
  <si>
    <t>Heating of Buildings</t>
  </si>
  <si>
    <t>4130</t>
  </si>
  <si>
    <t>Utility Services</t>
  </si>
  <si>
    <t>4220</t>
  </si>
  <si>
    <t>Maintenance of Buildings</t>
  </si>
  <si>
    <t>4400</t>
  </si>
  <si>
    <t>Networking and Telecommunications</t>
  </si>
  <si>
    <t>5150</t>
  </si>
  <si>
    <t>Employee Separation Costs</t>
  </si>
  <si>
    <t>5550</t>
  </si>
  <si>
    <t>School Crossing Guards</t>
  </si>
  <si>
    <t>9100</t>
  </si>
  <si>
    <t>Tuition to Mass. Schools</t>
  </si>
  <si>
    <t>9300</t>
  </si>
  <si>
    <t>Tuition to Non-Public Schools</t>
  </si>
  <si>
    <t>9400</t>
  </si>
  <si>
    <t>Tuition to Collaboratives</t>
  </si>
  <si>
    <t>0003</t>
  </si>
  <si>
    <t>1110</t>
  </si>
  <si>
    <t>School Committee</t>
  </si>
  <si>
    <t>2315</t>
  </si>
  <si>
    <t>Instructional Coordinators (Non-Supervisory)</t>
  </si>
  <si>
    <t>3100</t>
  </si>
  <si>
    <t>Attendance and Parent Liaison Services</t>
  </si>
  <si>
    <t>4225</t>
  </si>
  <si>
    <t>Building Security System</t>
  </si>
  <si>
    <t>4230</t>
  </si>
  <si>
    <t>Maintenance of Equipment</t>
  </si>
  <si>
    <t>9200</t>
  </si>
  <si>
    <t>Tuition to Out-of-State Schools</t>
  </si>
  <si>
    <t>1220</t>
  </si>
  <si>
    <t>Assistant Superintendents</t>
  </si>
  <si>
    <t>2120</t>
  </si>
  <si>
    <t>Department Heads  (Non-Supervisory)</t>
  </si>
  <si>
    <t>2220</t>
  </si>
  <si>
    <t>Curriculum/Dept Leaders (School Level)</t>
  </si>
  <si>
    <t>2355</t>
  </si>
  <si>
    <t>Substitutes for Prof. Development</t>
  </si>
  <si>
    <t>4450</t>
  </si>
  <si>
    <t>Technology Maintenance</t>
  </si>
  <si>
    <t>5200</t>
  </si>
  <si>
    <t>Insurance for Active Employees</t>
  </si>
  <si>
    <t>5350</t>
  </si>
  <si>
    <t>Rental Lease of Buildings</t>
  </si>
  <si>
    <t>4210</t>
  </si>
  <si>
    <t>Maintenance of Grounds</t>
  </si>
  <si>
    <t>5100</t>
  </si>
  <si>
    <t>Employer Retirement Contributions</t>
  </si>
  <si>
    <t>9125</t>
  </si>
  <si>
    <t>Tuition to Horace Mann Charter Schools</t>
  </si>
  <si>
    <t>1230</t>
  </si>
  <si>
    <t>Other District-Wide Administration</t>
  </si>
  <si>
    <t>4300</t>
  </si>
  <si>
    <t>Extraordinary Maintenance</t>
  </si>
  <si>
    <t>5250</t>
  </si>
  <si>
    <t>Insurance for Retired School Employees</t>
  </si>
  <si>
    <t>5260</t>
  </si>
  <si>
    <t>Other Non-Employee Insurance</t>
  </si>
  <si>
    <t>5500</t>
  </si>
  <si>
    <t>Other Fixed Charges</t>
  </si>
  <si>
    <t>1435</t>
  </si>
  <si>
    <t>Legal Settlements</t>
  </si>
  <si>
    <t>5300</t>
  </si>
  <si>
    <t>Rental Lease of Equipment</t>
  </si>
  <si>
    <t>0023</t>
  </si>
  <si>
    <t>0056</t>
  </si>
  <si>
    <t>0064</t>
  </si>
  <si>
    <t>0074</t>
  </si>
  <si>
    <t>0082</t>
  </si>
  <si>
    <t>0089</t>
  </si>
  <si>
    <t>0095</t>
  </si>
  <si>
    <t>0097</t>
  </si>
  <si>
    <t>0099</t>
  </si>
  <si>
    <t>0110</t>
  </si>
  <si>
    <t>0111</t>
  </si>
  <si>
    <t>0137</t>
  </si>
  <si>
    <t>0145</t>
  </si>
  <si>
    <t>0162</t>
  </si>
  <si>
    <t>0176</t>
  </si>
  <si>
    <t>0191</t>
  </si>
  <si>
    <t>0198</t>
  </si>
  <si>
    <t>0199</t>
  </si>
  <si>
    <t>0212</t>
  </si>
  <si>
    <t>0221</t>
  </si>
  <si>
    <t>0229</t>
  </si>
  <si>
    <t>0244</t>
  </si>
  <si>
    <t>5450</t>
  </si>
  <si>
    <t>Short Term Interest BANs</t>
  </si>
  <si>
    <t>0277</t>
  </si>
  <si>
    <t>9110</t>
  </si>
  <si>
    <t>Tuition for School Choice</t>
  </si>
  <si>
    <t>9120</t>
  </si>
  <si>
    <t>Tuition to Commonwealth Charter Schools</t>
  </si>
  <si>
    <t>0296</t>
  </si>
  <si>
    <t>0314</t>
  </si>
  <si>
    <t>0316</t>
  </si>
  <si>
    <t>0343</t>
  </si>
  <si>
    <t>5400</t>
  </si>
  <si>
    <t>Short Term Interest RANs</t>
  </si>
  <si>
    <t>0698</t>
  </si>
  <si>
    <t>0725</t>
  </si>
  <si>
    <t>0760</t>
  </si>
  <si>
    <t>0773</t>
  </si>
  <si>
    <t>0778</t>
  </si>
  <si>
    <t>0780</t>
  </si>
  <si>
    <t>0830</t>
  </si>
  <si>
    <t xml:space="preserve"> 1. Administration (1000)</t>
  </si>
  <si>
    <t xml:space="preserve"> 2. Instruction (2000)</t>
  </si>
  <si>
    <t xml:space="preserve"> 3. Attendance-Health (3100, 3200)</t>
  </si>
  <si>
    <t xml:space="preserve"> 4. Food Services (3400)</t>
  </si>
  <si>
    <t xml:space="preserve"> 5. Athletics/Student Activities/ Security (3500,3600)</t>
  </si>
  <si>
    <t xml:space="preserve"> 6. Maintenance (4000)</t>
  </si>
  <si>
    <t xml:space="preserve"> 7. Employee Benefits (5100)</t>
  </si>
  <si>
    <t xml:space="preserve"> 8. Insurance (5200)</t>
  </si>
  <si>
    <t xml:space="preserve"> 9. Retired Employee Insurance (5250)</t>
  </si>
  <si>
    <t>10. Rentals (5300)</t>
  </si>
  <si>
    <t>11. Short Term Interest RAN's (5400)</t>
  </si>
  <si>
    <t>12. Tuition (9000)</t>
  </si>
  <si>
    <t>13. Total School Spending (1 through 12)</t>
  </si>
  <si>
    <t>14. School Revenues</t>
  </si>
  <si>
    <t xml:space="preserve">       14a) FY16 School Revenues</t>
  </si>
  <si>
    <t xml:space="preserve">       14b) FY16 Charter Reimbursement</t>
  </si>
  <si>
    <t xml:space="preserve">       14c) Subtotal, School Revenues (14a+14b)</t>
  </si>
  <si>
    <t>15. Net School Spending (13 - 14c)</t>
  </si>
  <si>
    <t>16. FY16 Required Net School Spending</t>
  </si>
  <si>
    <t>17. FY15 Carry-Over Into FY16</t>
  </si>
  <si>
    <t>18. Total FY16 Requirement (16 + 17)</t>
  </si>
  <si>
    <t>19. Unexpended Net School Spending (18 - 15)</t>
  </si>
  <si>
    <t>20. Percent Unexpended (19 / 16)</t>
  </si>
  <si>
    <t>21. FY16 Carry-Over (19 or 5% of 16 or 0 if 17 &gt; 0)</t>
  </si>
  <si>
    <t>22. Penalty (19 - 21)</t>
  </si>
  <si>
    <t>Total</t>
  </si>
  <si>
    <t>0349</t>
  </si>
  <si>
    <t>FuncSubttl</t>
  </si>
  <si>
    <t>1000</t>
  </si>
  <si>
    <t>District Administration</t>
  </si>
  <si>
    <t>ADMN</t>
  </si>
  <si>
    <t>1400</t>
  </si>
  <si>
    <t>Administrative Depts (Finance, Personnel)</t>
  </si>
  <si>
    <t>2000</t>
  </si>
  <si>
    <t>Instruction</t>
  </si>
  <si>
    <t>2100</t>
  </si>
  <si>
    <t>Districtwide Academic Leadership</t>
  </si>
  <si>
    <t>LDRS</t>
  </si>
  <si>
    <t>2200</t>
  </si>
  <si>
    <t>School Building Leadership</t>
  </si>
  <si>
    <t>2300</t>
  </si>
  <si>
    <t>Instruction - Teaching Services</t>
  </si>
  <si>
    <t>TCHR</t>
  </si>
  <si>
    <t>TSER</t>
  </si>
  <si>
    <t>2350</t>
  </si>
  <si>
    <t>Professional Development</t>
  </si>
  <si>
    <t>PDEV</t>
  </si>
  <si>
    <t>2400</t>
  </si>
  <si>
    <t>Instructional Materials and Equipment</t>
  </si>
  <si>
    <t>MATL</t>
  </si>
  <si>
    <t>2450</t>
  </si>
  <si>
    <t>Instructional Technology</t>
  </si>
  <si>
    <t>2700</t>
  </si>
  <si>
    <t>Guidance, Counseling and Testing</t>
  </si>
  <si>
    <t>GUID</t>
  </si>
  <si>
    <t>3000</t>
  </si>
  <si>
    <t>Other School Services</t>
  </si>
  <si>
    <t>SERV</t>
  </si>
  <si>
    <t>3132</t>
  </si>
  <si>
    <t>Attendance/Health (Sched 19, NSS)</t>
  </si>
  <si>
    <t>3399</t>
  </si>
  <si>
    <t>Public Transportation Assessment (NIC Expenditures)</t>
  </si>
  <si>
    <t>3512</t>
  </si>
  <si>
    <t>Athletics/Activities/Security (Sched 19, NSS)</t>
  </si>
  <si>
    <t>4000</t>
  </si>
  <si>
    <t>Operation and Plant Maintenance</t>
  </si>
  <si>
    <t>OPMN</t>
  </si>
  <si>
    <t>4200</t>
  </si>
  <si>
    <t>Operation and Maintenance</t>
  </si>
  <si>
    <t>5000</t>
  </si>
  <si>
    <t>Fixed Charges</t>
  </si>
  <si>
    <t>BENE</t>
  </si>
  <si>
    <t>DEBT</t>
  </si>
  <si>
    <t>5990</t>
  </si>
  <si>
    <t>Indirect Cost Transfers</t>
  </si>
  <si>
    <t>INDR</t>
  </si>
  <si>
    <t>6000</t>
  </si>
  <si>
    <t>Community Services</t>
  </si>
  <si>
    <t>6200</t>
  </si>
  <si>
    <t>Civic Activities</t>
  </si>
  <si>
    <t>COMM</t>
  </si>
  <si>
    <t>6300</t>
  </si>
  <si>
    <t>Recreation Services</t>
  </si>
  <si>
    <t>6800</t>
  </si>
  <si>
    <t>Health Services to Non-Public Schools</t>
  </si>
  <si>
    <t>6900</t>
  </si>
  <si>
    <t>Transportation to Non-Public Schools</t>
  </si>
  <si>
    <t>6910</t>
  </si>
  <si>
    <t>Non-public transportation in-district</t>
  </si>
  <si>
    <t>6920</t>
  </si>
  <si>
    <t>Non-public transportation out-of-district</t>
  </si>
  <si>
    <t>7000</t>
  </si>
  <si>
    <t>Fixed Assets</t>
  </si>
  <si>
    <t>7100</t>
  </si>
  <si>
    <t>Purchase of Land and Buildings (7100, 7200)</t>
  </si>
  <si>
    <t>CAPT</t>
  </si>
  <si>
    <t>7200</t>
  </si>
  <si>
    <t>7300</t>
  </si>
  <si>
    <t>Equipment (7300, 7400)</t>
  </si>
  <si>
    <t>7350</t>
  </si>
  <si>
    <t>Capital Technology</t>
  </si>
  <si>
    <t>7400</t>
  </si>
  <si>
    <t>7500</t>
  </si>
  <si>
    <t>Motor Vehicles (7500, 7600)</t>
  </si>
  <si>
    <t>7600</t>
  </si>
  <si>
    <t>8000</t>
  </si>
  <si>
    <t>Long Term Debt</t>
  </si>
  <si>
    <t>8100</t>
  </si>
  <si>
    <t>Debt Retirement/School Construction</t>
  </si>
  <si>
    <t>8200</t>
  </si>
  <si>
    <t>Debt Service/School Construction</t>
  </si>
  <si>
    <t>8400</t>
  </si>
  <si>
    <t>Debt Service/Educ and Other (8400, 8600)</t>
  </si>
  <si>
    <t>8600</t>
  </si>
  <si>
    <t>9000</t>
  </si>
  <si>
    <t>Payments to Other Districts</t>
  </si>
  <si>
    <t>TUIT</t>
  </si>
  <si>
    <t>9500</t>
  </si>
  <si>
    <t>Regional School Assessment</t>
  </si>
  <si>
    <t>REGL</t>
  </si>
  <si>
    <t>9600</t>
  </si>
  <si>
    <t>Out-of-district Transportation</t>
  </si>
  <si>
    <t>ODTR</t>
  </si>
  <si>
    <t>9810</t>
  </si>
  <si>
    <t>NSS Required Net School Spending (EOY)</t>
  </si>
  <si>
    <t>9820</t>
  </si>
  <si>
    <t>NSS Carryover (EOY)</t>
  </si>
  <si>
    <t>Administration</t>
  </si>
  <si>
    <t>Insurance, Retirement Programs and Other</t>
  </si>
  <si>
    <t>Fixed Assets (Buildings, Equipment)</t>
  </si>
  <si>
    <t>Community Activities</t>
  </si>
  <si>
    <t>Debt and BANs</t>
  </si>
  <si>
    <t>IIII</t>
  </si>
  <si>
    <t>In-district Expenditure</t>
  </si>
  <si>
    <t>Instructional Leadership</t>
  </si>
  <si>
    <t>Instructional Materials, Equipment and Technology</t>
  </si>
  <si>
    <t>OODD</t>
  </si>
  <si>
    <t>Out-of-district Expenditure</t>
  </si>
  <si>
    <t>Operations and Maintenance</t>
  </si>
  <si>
    <t>OTHR</t>
  </si>
  <si>
    <t>Total Other Costs</t>
  </si>
  <si>
    <t>Regional Assessments</t>
  </si>
  <si>
    <t>Pupil Services</t>
  </si>
  <si>
    <t>SPGR</t>
  </si>
  <si>
    <t>SPED From Grants, Revolving</t>
  </si>
  <si>
    <t>Teachers</t>
  </si>
  <si>
    <t>Other Teaching Services</t>
  </si>
  <si>
    <t>TTPP</t>
  </si>
  <si>
    <t>Expenditure (Admin, Instruction, Operations)</t>
  </si>
  <si>
    <t>TTTT</t>
  </si>
  <si>
    <t>Grand Total Expenditures</t>
  </si>
  <si>
    <t>Payments to Out-of-District Schools</t>
  </si>
  <si>
    <t>LEA</t>
  </si>
  <si>
    <t>Actual NSS</t>
  </si>
  <si>
    <t>Carryforward</t>
  </si>
  <si>
    <t>Total Required NSS FY15</t>
  </si>
  <si>
    <t xml:space="preserve"> Actual NSS FY15</t>
  </si>
  <si>
    <t>Amt Over/Under</t>
  </si>
  <si>
    <t>New Amount Over/Under</t>
  </si>
  <si>
    <t>Allowable Carryforward</t>
  </si>
  <si>
    <t>SC Revenues Budgeted for FY16</t>
  </si>
  <si>
    <t>Quaboag</t>
  </si>
  <si>
    <t>Manchester Essex</t>
  </si>
  <si>
    <t>23. Administration (1000)</t>
  </si>
  <si>
    <t>24. Instruction (2000)</t>
  </si>
  <si>
    <t>25. Attendance-Health (3100, 3200)</t>
  </si>
  <si>
    <t>26. Food Services (3400)</t>
  </si>
  <si>
    <t>27. Athletics/Student Activities/ Security (3500,3600)</t>
  </si>
  <si>
    <t>28. Maintenance (4000)</t>
  </si>
  <si>
    <t>29. Employee Benefits (5100)</t>
  </si>
  <si>
    <t>30. Insurance (5200)</t>
  </si>
  <si>
    <t>31. Retired Employee Insurance (5250)</t>
  </si>
  <si>
    <t>32. Rentals (5300)</t>
  </si>
  <si>
    <t>33. Short Term Interest RAN's (5400)</t>
  </si>
  <si>
    <t>34. Tuition (9000)</t>
  </si>
  <si>
    <t>35. Total School Spending (23 through 34)</t>
  </si>
  <si>
    <t>36. Revenues</t>
  </si>
  <si>
    <t xml:space="preserve">     36a) FY17 Budgeted School Revenues</t>
  </si>
  <si>
    <t xml:space="preserve">     36b) Projected FY17 Charter Reimbursement (Local Districts)</t>
  </si>
  <si>
    <t xml:space="preserve">     36c) Subtotal, Net School Spending Revenues (36a+36b)</t>
  </si>
  <si>
    <t>37. Net School Spending (35 - 36)</t>
  </si>
  <si>
    <t>38. FY17 Required Net School Spending</t>
  </si>
  <si>
    <t>39. Carry-Over Into FY17 (21)</t>
  </si>
  <si>
    <t>40. Total FY17 Requirement (38 + 39)</t>
  </si>
  <si>
    <t>41. Deficiency (40 - 37)</t>
  </si>
  <si>
    <t>Massachusetts Department of Elementary and Secondary Education</t>
  </si>
  <si>
    <t>Chesterfield Goshen</t>
  </si>
  <si>
    <t>Southwick Tolland</t>
  </si>
  <si>
    <t>Upisland</t>
  </si>
  <si>
    <t>Essex North Shore</t>
  </si>
  <si>
    <t xml:space="preserve">Abington                     </t>
  </si>
  <si>
    <t xml:space="preserve">Acushnet                     </t>
  </si>
  <si>
    <t xml:space="preserve">Agawam                       </t>
  </si>
  <si>
    <t xml:space="preserve">Amesbury                     </t>
  </si>
  <si>
    <t xml:space="preserve">Amherst                      </t>
  </si>
  <si>
    <t xml:space="preserve">Andover                      </t>
  </si>
  <si>
    <t xml:space="preserve">Arlington                    </t>
  </si>
  <si>
    <t xml:space="preserve">Ashland                      </t>
  </si>
  <si>
    <t xml:space="preserve">Attleboro                    </t>
  </si>
  <si>
    <t xml:space="preserve">Auburn                       </t>
  </si>
  <si>
    <t xml:space="preserve">Avon                         </t>
  </si>
  <si>
    <t xml:space="preserve">Barnstable                   </t>
  </si>
  <si>
    <t xml:space="preserve">Bedford                      </t>
  </si>
  <si>
    <t xml:space="preserve">Belchertown                  </t>
  </si>
  <si>
    <t xml:space="preserve">Bellingham                   </t>
  </si>
  <si>
    <t xml:space="preserve">Belmont                      </t>
  </si>
  <si>
    <t xml:space="preserve">Berkley                      </t>
  </si>
  <si>
    <t xml:space="preserve">Beverly                      </t>
  </si>
  <si>
    <t xml:space="preserve">Billerica                    </t>
  </si>
  <si>
    <t xml:space="preserve">Boston                       </t>
  </si>
  <si>
    <t xml:space="preserve">Bourne                       </t>
  </si>
  <si>
    <t xml:space="preserve">Boxford                      </t>
  </si>
  <si>
    <t xml:space="preserve">Braintree                    </t>
  </si>
  <si>
    <t xml:space="preserve">Brewster                     </t>
  </si>
  <si>
    <t xml:space="preserve">Brimfield                    </t>
  </si>
  <si>
    <t xml:space="preserve">Brockton                     </t>
  </si>
  <si>
    <t xml:space="preserve">Brookfield                   </t>
  </si>
  <si>
    <t xml:space="preserve">Brookline                    </t>
  </si>
  <si>
    <t xml:space="preserve">Burlington                   </t>
  </si>
  <si>
    <t xml:space="preserve">Cambridge                    </t>
  </si>
  <si>
    <t xml:space="preserve">Canton                       </t>
  </si>
  <si>
    <t xml:space="preserve">Carlisle                     </t>
  </si>
  <si>
    <t xml:space="preserve">Carver                       </t>
  </si>
  <si>
    <t xml:space="preserve">Chelmsford                   </t>
  </si>
  <si>
    <t xml:space="preserve">Chelsea                      </t>
  </si>
  <si>
    <t xml:space="preserve">Chicopee                     </t>
  </si>
  <si>
    <t xml:space="preserve">Clarksburg                   </t>
  </si>
  <si>
    <t xml:space="preserve">Clinton                      </t>
  </si>
  <si>
    <t xml:space="preserve">Cohasset                     </t>
  </si>
  <si>
    <t xml:space="preserve">Concord                      </t>
  </si>
  <si>
    <t xml:space="preserve">Conway                       </t>
  </si>
  <si>
    <t xml:space="preserve">Danvers                      </t>
  </si>
  <si>
    <t xml:space="preserve">Dartmouth                    </t>
  </si>
  <si>
    <t xml:space="preserve">Dedham                       </t>
  </si>
  <si>
    <t xml:space="preserve">Deerfield                    </t>
  </si>
  <si>
    <t xml:space="preserve">Douglas                      </t>
  </si>
  <si>
    <t xml:space="preserve">Dover                        </t>
  </si>
  <si>
    <t xml:space="preserve">Dracut                       </t>
  </si>
  <si>
    <t xml:space="preserve">Duxbury                      </t>
  </si>
  <si>
    <t xml:space="preserve">East Bridgewater             </t>
  </si>
  <si>
    <t xml:space="preserve">Eastham                      </t>
  </si>
  <si>
    <t xml:space="preserve">Easthampton                  </t>
  </si>
  <si>
    <t xml:space="preserve">East Longmeadow              </t>
  </si>
  <si>
    <t xml:space="preserve">Easton                       </t>
  </si>
  <si>
    <t xml:space="preserve">Edgartown                    </t>
  </si>
  <si>
    <t xml:space="preserve">Erving                       </t>
  </si>
  <si>
    <t xml:space="preserve">Everett                      </t>
  </si>
  <si>
    <t xml:space="preserve">Fairhaven                    </t>
  </si>
  <si>
    <t xml:space="preserve">Fall River                   </t>
  </si>
  <si>
    <t xml:space="preserve">Falmouth                     </t>
  </si>
  <si>
    <t xml:space="preserve">Fitchburg                    </t>
  </si>
  <si>
    <t xml:space="preserve">Florida                      </t>
  </si>
  <si>
    <t xml:space="preserve">Foxborough                   </t>
  </si>
  <si>
    <t xml:space="preserve">Framingham                   </t>
  </si>
  <si>
    <t xml:space="preserve">Franklin                     </t>
  </si>
  <si>
    <t xml:space="preserve">Gardner                      </t>
  </si>
  <si>
    <t xml:space="preserve">Georgetown                   </t>
  </si>
  <si>
    <t xml:space="preserve">Gloucester                   </t>
  </si>
  <si>
    <t xml:space="preserve">Grafton                      </t>
  </si>
  <si>
    <t xml:space="preserve">Granby                       </t>
  </si>
  <si>
    <t xml:space="preserve">Greenfield                   </t>
  </si>
  <si>
    <t xml:space="preserve">Hadley                       </t>
  </si>
  <si>
    <t xml:space="preserve">Halifax                      </t>
  </si>
  <si>
    <t xml:space="preserve">Hancock                      </t>
  </si>
  <si>
    <t xml:space="preserve">Hanover                      </t>
  </si>
  <si>
    <t xml:space="preserve">Harvard                      </t>
  </si>
  <si>
    <t xml:space="preserve">Hatfield                     </t>
  </si>
  <si>
    <t xml:space="preserve">Haverhill                    </t>
  </si>
  <si>
    <t xml:space="preserve">Hingham                      </t>
  </si>
  <si>
    <t xml:space="preserve">Holbrook                     </t>
  </si>
  <si>
    <t xml:space="preserve">Holland                      </t>
  </si>
  <si>
    <t xml:space="preserve">Holliston                    </t>
  </si>
  <si>
    <t xml:space="preserve">Holyoke                      </t>
  </si>
  <si>
    <t xml:space="preserve">Hopedale                     </t>
  </si>
  <si>
    <t xml:space="preserve">Hopkinton                    </t>
  </si>
  <si>
    <t xml:space="preserve">Hudson                       </t>
  </si>
  <si>
    <t xml:space="preserve">Hull                         </t>
  </si>
  <si>
    <t xml:space="preserve">Ipswich                      </t>
  </si>
  <si>
    <t xml:space="preserve">Kingston                     </t>
  </si>
  <si>
    <t xml:space="preserve">Lawrence                     </t>
  </si>
  <si>
    <t xml:space="preserve">Lee                          </t>
  </si>
  <si>
    <t xml:space="preserve">Leicester                    </t>
  </si>
  <si>
    <t xml:space="preserve">Lenox                        </t>
  </si>
  <si>
    <t xml:space="preserve">Leominster                   </t>
  </si>
  <si>
    <t xml:space="preserve">Leverett                     </t>
  </si>
  <si>
    <t xml:space="preserve">Lexington                    </t>
  </si>
  <si>
    <t xml:space="preserve">Lincoln                      </t>
  </si>
  <si>
    <t xml:space="preserve">Littleton                    </t>
  </si>
  <si>
    <t xml:space="preserve">Longmeadow                   </t>
  </si>
  <si>
    <t xml:space="preserve">Lowell                       </t>
  </si>
  <si>
    <t xml:space="preserve">Ludlow                       </t>
  </si>
  <si>
    <t xml:space="preserve">Lunenburg                    </t>
  </si>
  <si>
    <t xml:space="preserve">Lynn                         </t>
  </si>
  <si>
    <t xml:space="preserve">Lynnfield                    </t>
  </si>
  <si>
    <t xml:space="preserve">Malden                       </t>
  </si>
  <si>
    <t xml:space="preserve">Mansfield                    </t>
  </si>
  <si>
    <t xml:space="preserve">Marblehead                   </t>
  </si>
  <si>
    <t xml:space="preserve">Marion                       </t>
  </si>
  <si>
    <t xml:space="preserve">Marlborough                  </t>
  </si>
  <si>
    <t xml:space="preserve">Marshfield                   </t>
  </si>
  <si>
    <t xml:space="preserve">Mashpee                      </t>
  </si>
  <si>
    <t xml:space="preserve">Mattapoisett                 </t>
  </si>
  <si>
    <t xml:space="preserve">Maynard                      </t>
  </si>
  <si>
    <t xml:space="preserve">Medfield                     </t>
  </si>
  <si>
    <t xml:space="preserve">Medford                      </t>
  </si>
  <si>
    <t xml:space="preserve">Medway                       </t>
  </si>
  <si>
    <t xml:space="preserve">Melrose                      </t>
  </si>
  <si>
    <t xml:space="preserve">Methuen                      </t>
  </si>
  <si>
    <t xml:space="preserve">Middleborough                </t>
  </si>
  <si>
    <t xml:space="preserve">Middleton                    </t>
  </si>
  <si>
    <t xml:space="preserve">Milford                      </t>
  </si>
  <si>
    <t xml:space="preserve">Millbury                     </t>
  </si>
  <si>
    <t xml:space="preserve">Millis                       </t>
  </si>
  <si>
    <t xml:space="preserve">Milton                       </t>
  </si>
  <si>
    <t xml:space="preserve">Monson                       </t>
  </si>
  <si>
    <t xml:space="preserve">Nahant                       </t>
  </si>
  <si>
    <t xml:space="preserve">Nantucket                    </t>
  </si>
  <si>
    <t xml:space="preserve">Natick                       </t>
  </si>
  <si>
    <t xml:space="preserve">Needham                      </t>
  </si>
  <si>
    <t xml:space="preserve">New Bedford                  </t>
  </si>
  <si>
    <t xml:space="preserve">Newburyport                  </t>
  </si>
  <si>
    <t xml:space="preserve">Newton                       </t>
  </si>
  <si>
    <t xml:space="preserve">Norfolk                      </t>
  </si>
  <si>
    <t xml:space="preserve">North Adams                  </t>
  </si>
  <si>
    <t xml:space="preserve">Northampton                  </t>
  </si>
  <si>
    <t xml:space="preserve">North Andover                </t>
  </si>
  <si>
    <t xml:space="preserve">North Attleborough           </t>
  </si>
  <si>
    <t xml:space="preserve">Northborough                 </t>
  </si>
  <si>
    <t xml:space="preserve">Northbridge                  </t>
  </si>
  <si>
    <t xml:space="preserve">North Brookfield             </t>
  </si>
  <si>
    <t xml:space="preserve">North Reading                </t>
  </si>
  <si>
    <t xml:space="preserve">Norton                       </t>
  </si>
  <si>
    <t xml:space="preserve">Norwell                      </t>
  </si>
  <si>
    <t xml:space="preserve">Norwood                      </t>
  </si>
  <si>
    <t xml:space="preserve">Oak Bluffs                   </t>
  </si>
  <si>
    <t xml:space="preserve">Orange                       </t>
  </si>
  <si>
    <t xml:space="preserve">Orleans                      </t>
  </si>
  <si>
    <t xml:space="preserve">Oxford                       </t>
  </si>
  <si>
    <t xml:space="preserve">Palmer                       </t>
  </si>
  <si>
    <t xml:space="preserve">Peabody                      </t>
  </si>
  <si>
    <t xml:space="preserve">Pelham                       </t>
  </si>
  <si>
    <t xml:space="preserve">Pembroke                     </t>
  </si>
  <si>
    <t xml:space="preserve">Petersham                    </t>
  </si>
  <si>
    <t xml:space="preserve">Pittsfield                   </t>
  </si>
  <si>
    <t xml:space="preserve">Plainville                   </t>
  </si>
  <si>
    <t xml:space="preserve">Plymouth                     </t>
  </si>
  <si>
    <t xml:space="preserve">Plympton                     </t>
  </si>
  <si>
    <t xml:space="preserve">Provincetown                 </t>
  </si>
  <si>
    <t xml:space="preserve">Quincy                       </t>
  </si>
  <si>
    <t xml:space="preserve">Randolph                     </t>
  </si>
  <si>
    <t xml:space="preserve">Reading                      </t>
  </si>
  <si>
    <t xml:space="preserve">Revere                       </t>
  </si>
  <si>
    <t xml:space="preserve">Richmond                     </t>
  </si>
  <si>
    <t xml:space="preserve">Rochester                    </t>
  </si>
  <si>
    <t xml:space="preserve">Rockland                     </t>
  </si>
  <si>
    <t xml:space="preserve">Rockport                     </t>
  </si>
  <si>
    <t xml:space="preserve">Rowe                         </t>
  </si>
  <si>
    <t xml:space="preserve">Salem                        </t>
  </si>
  <si>
    <t xml:space="preserve">Sandwich                     </t>
  </si>
  <si>
    <t xml:space="preserve">Saugus                       </t>
  </si>
  <si>
    <t xml:space="preserve">Savoy                        </t>
  </si>
  <si>
    <t xml:space="preserve">Scituate                     </t>
  </si>
  <si>
    <t xml:space="preserve">Seekonk                      </t>
  </si>
  <si>
    <t xml:space="preserve">Sharon                       </t>
  </si>
  <si>
    <t xml:space="preserve">Sherborn                     </t>
  </si>
  <si>
    <t xml:space="preserve">Shrewsbury                   </t>
  </si>
  <si>
    <t xml:space="preserve">Shutesbury                   </t>
  </si>
  <si>
    <t xml:space="preserve">Somerset                     </t>
  </si>
  <si>
    <t xml:space="preserve">Somerville                   </t>
  </si>
  <si>
    <t xml:space="preserve">Southampton                  </t>
  </si>
  <si>
    <t xml:space="preserve">Southborough                 </t>
  </si>
  <si>
    <t xml:space="preserve">Southbridge                  </t>
  </si>
  <si>
    <t xml:space="preserve">South Hadley                 </t>
  </si>
  <si>
    <t xml:space="preserve">Springfield                  </t>
  </si>
  <si>
    <t xml:space="preserve">Stoneham                     </t>
  </si>
  <si>
    <t xml:space="preserve">Stoughton                    </t>
  </si>
  <si>
    <t xml:space="preserve">Sturbridge                   </t>
  </si>
  <si>
    <t xml:space="preserve">Sudbury                      </t>
  </si>
  <si>
    <t xml:space="preserve">Sunderland                   </t>
  </si>
  <si>
    <t xml:space="preserve">Sutton                       </t>
  </si>
  <si>
    <t xml:space="preserve">Swampscott                   </t>
  </si>
  <si>
    <t xml:space="preserve">Swansea                      </t>
  </si>
  <si>
    <t xml:space="preserve">Taunton                      </t>
  </si>
  <si>
    <t xml:space="preserve">Tewksbury                    </t>
  </si>
  <si>
    <t xml:space="preserve">Tisbury                      </t>
  </si>
  <si>
    <t xml:space="preserve">Topsfield                    </t>
  </si>
  <si>
    <t xml:space="preserve">Truro                        </t>
  </si>
  <si>
    <t xml:space="preserve">Tyngsborough                 </t>
  </si>
  <si>
    <t xml:space="preserve">Uxbridge                     </t>
  </si>
  <si>
    <t xml:space="preserve">Wakefield                    </t>
  </si>
  <si>
    <t xml:space="preserve">Wales                        </t>
  </si>
  <si>
    <t xml:space="preserve">Walpole                      </t>
  </si>
  <si>
    <t xml:space="preserve">Waltham                      </t>
  </si>
  <si>
    <t xml:space="preserve">Ware                         </t>
  </si>
  <si>
    <t xml:space="preserve">Wareham                      </t>
  </si>
  <si>
    <t xml:space="preserve">Watertown                    </t>
  </si>
  <si>
    <t xml:space="preserve">Wayland                      </t>
  </si>
  <si>
    <t xml:space="preserve">Webster                      </t>
  </si>
  <si>
    <t xml:space="preserve">Wellesley                    </t>
  </si>
  <si>
    <t xml:space="preserve">Wellfleet                    </t>
  </si>
  <si>
    <t xml:space="preserve">Westborough                  </t>
  </si>
  <si>
    <t xml:space="preserve">West Boylston                </t>
  </si>
  <si>
    <t xml:space="preserve">West Bridgewater             </t>
  </si>
  <si>
    <t xml:space="preserve">Westfield                    </t>
  </si>
  <si>
    <t xml:space="preserve">Westford                     </t>
  </si>
  <si>
    <t xml:space="preserve">Westhampton                  </t>
  </si>
  <si>
    <t xml:space="preserve">Weston                       </t>
  </si>
  <si>
    <t xml:space="preserve">Westport                     </t>
  </si>
  <si>
    <t xml:space="preserve">West Springfield             </t>
  </si>
  <si>
    <t xml:space="preserve">Westwood                     </t>
  </si>
  <si>
    <t xml:space="preserve">Weymouth                     </t>
  </si>
  <si>
    <t xml:space="preserve">Whately                      </t>
  </si>
  <si>
    <t xml:space="preserve">Williamsburg                 </t>
  </si>
  <si>
    <t xml:space="preserve">Wilmington                   </t>
  </si>
  <si>
    <t xml:space="preserve">Winchendon                   </t>
  </si>
  <si>
    <t xml:space="preserve">Winchester                   </t>
  </si>
  <si>
    <t xml:space="preserve">Winthrop                     </t>
  </si>
  <si>
    <t xml:space="preserve">Worcester                    </t>
  </si>
  <si>
    <t xml:space="preserve">Worthington                  </t>
  </si>
  <si>
    <t xml:space="preserve">Wrentham                     </t>
  </si>
  <si>
    <t xml:space="preserve">Northampton Smith            </t>
  </si>
  <si>
    <t xml:space="preserve">Acton Boxborough             </t>
  </si>
  <si>
    <t xml:space="preserve">Amherst Pelham               </t>
  </si>
  <si>
    <t xml:space="preserve">Ashburnham Westminster       </t>
  </si>
  <si>
    <t xml:space="preserve">Athol Royalston              </t>
  </si>
  <si>
    <t xml:space="preserve">Berkshire Hills              </t>
  </si>
  <si>
    <t xml:space="preserve">Berlin Boylston              </t>
  </si>
  <si>
    <t xml:space="preserve">Blackstone Millville         </t>
  </si>
  <si>
    <t xml:space="preserve">Bridgewater Raynham          </t>
  </si>
  <si>
    <t xml:space="preserve">Central Berkshire            </t>
  </si>
  <si>
    <t xml:space="preserve">Concord Carlisle             </t>
  </si>
  <si>
    <t xml:space="preserve">Dennis Yarmouth              </t>
  </si>
  <si>
    <t xml:space="preserve">Dighton Rehoboth             </t>
  </si>
  <si>
    <t xml:space="preserve">Dover Sherborn               </t>
  </si>
  <si>
    <t xml:space="preserve">Dudley Charlton              </t>
  </si>
  <si>
    <t xml:space="preserve">Nauset                       </t>
  </si>
  <si>
    <t xml:space="preserve">Freetown Lakeville           </t>
  </si>
  <si>
    <t xml:space="preserve">Frontier                     </t>
  </si>
  <si>
    <t xml:space="preserve">Gateway                      </t>
  </si>
  <si>
    <t xml:space="preserve">Groton Dunstable             </t>
  </si>
  <si>
    <t xml:space="preserve">Gill Montague                </t>
  </si>
  <si>
    <t xml:space="preserve">Hamilton Wenham              </t>
  </si>
  <si>
    <t xml:space="preserve">Hampden Wilbraham            </t>
  </si>
  <si>
    <t xml:space="preserve">Hampshire                    </t>
  </si>
  <si>
    <t xml:space="preserve">Hawlemont                    </t>
  </si>
  <si>
    <t xml:space="preserve">King Philip                  </t>
  </si>
  <si>
    <t xml:space="preserve">Lincoln Sudbury              </t>
  </si>
  <si>
    <t xml:space="preserve">Marthas Vineyard             </t>
  </si>
  <si>
    <t xml:space="preserve">Masconomet                   </t>
  </si>
  <si>
    <t xml:space="preserve">Mendon Upton                 </t>
  </si>
  <si>
    <t xml:space="preserve">Mount Greylock               </t>
  </si>
  <si>
    <t xml:space="preserve">Mohawk Trail                 </t>
  </si>
  <si>
    <t xml:space="preserve">Narragansett                 </t>
  </si>
  <si>
    <t xml:space="preserve">Nashoba                      </t>
  </si>
  <si>
    <t xml:space="preserve">New Salem Wendell            </t>
  </si>
  <si>
    <t xml:space="preserve">Northboro Southboro          </t>
  </si>
  <si>
    <t xml:space="preserve">North Middlesex              </t>
  </si>
  <si>
    <t xml:space="preserve">Old Rochester                </t>
  </si>
  <si>
    <t xml:space="preserve">Pentucket                    </t>
  </si>
  <si>
    <t xml:space="preserve">Quabbin                      </t>
  </si>
  <si>
    <t xml:space="preserve">Ralph C Mahar                </t>
  </si>
  <si>
    <t xml:space="preserve">Silver Lake                  </t>
  </si>
  <si>
    <t xml:space="preserve">Southern Berkshire           </t>
  </si>
  <si>
    <t xml:space="preserve">Spencer East Brookfield      </t>
  </si>
  <si>
    <t xml:space="preserve">Tantasqua                    </t>
  </si>
  <si>
    <t xml:space="preserve">Triton                       </t>
  </si>
  <si>
    <t xml:space="preserve">Wachusett                    </t>
  </si>
  <si>
    <t xml:space="preserve">Whitman Hanson               </t>
  </si>
  <si>
    <t xml:space="preserve">Assabet Valley               </t>
  </si>
  <si>
    <t xml:space="preserve">Blackstone Valley            </t>
  </si>
  <si>
    <t xml:space="preserve">Blue Hills                   </t>
  </si>
  <si>
    <t xml:space="preserve">Bristol Plymouth             </t>
  </si>
  <si>
    <t xml:space="preserve">Cape Cod                     </t>
  </si>
  <si>
    <t xml:space="preserve">Franklin County              </t>
  </si>
  <si>
    <t xml:space="preserve">Greater Fall River           </t>
  </si>
  <si>
    <t xml:space="preserve">Greater Lawrence             </t>
  </si>
  <si>
    <t xml:space="preserve">Greater New Bedford          </t>
  </si>
  <si>
    <t xml:space="preserve">Greater Lowell               </t>
  </si>
  <si>
    <t xml:space="preserve">South Middlesex              </t>
  </si>
  <si>
    <t xml:space="preserve">Minuteman                    </t>
  </si>
  <si>
    <t xml:space="preserve">Montachusett                 </t>
  </si>
  <si>
    <t xml:space="preserve">Northern Berkshire           </t>
  </si>
  <si>
    <t xml:space="preserve">Nashoba Valley               </t>
  </si>
  <si>
    <t xml:space="preserve">Northeast Metropolitan       </t>
  </si>
  <si>
    <t xml:space="preserve">Old Colony                   </t>
  </si>
  <si>
    <t xml:space="preserve">Pathfinder                   </t>
  </si>
  <si>
    <t xml:space="preserve">Shawsheen Valley             </t>
  </si>
  <si>
    <t xml:space="preserve">Southeastern                 </t>
  </si>
  <si>
    <t xml:space="preserve">South Shore                  </t>
  </si>
  <si>
    <t xml:space="preserve">Southern Worcester           </t>
  </si>
  <si>
    <t xml:space="preserve">Tri County                   </t>
  </si>
  <si>
    <t xml:space="preserve">Upper Cape Cod               </t>
  </si>
  <si>
    <t xml:space="preserve">Whittier                     </t>
  </si>
  <si>
    <t xml:space="preserve">Bristol County               </t>
  </si>
  <si>
    <t xml:space="preserve">Norfolk County               </t>
  </si>
  <si>
    <t>Lookups</t>
  </si>
  <si>
    <t>FY16 Net School Spending</t>
  </si>
  <si>
    <t>School</t>
  </si>
  <si>
    <t>City or</t>
  </si>
  <si>
    <t>Committee</t>
  </si>
  <si>
    <t>Town</t>
  </si>
  <si>
    <t>&lt;FY16 Budget</t>
  </si>
  <si>
    <t>FY17 Budgeted Net School Spending</t>
  </si>
  <si>
    <t>Budgeted NSS</t>
  </si>
  <si>
    <t>Office of School Finance</t>
  </si>
  <si>
    <t>District Name</t>
  </si>
  <si>
    <t>Required NSS</t>
  </si>
  <si>
    <t>Amt Over or Under Req'd</t>
  </si>
  <si>
    <t>Actual as % of Req'd</t>
  </si>
  <si>
    <t>Foundation Budget</t>
  </si>
  <si>
    <t>Actual NSS as % of Foundation</t>
  </si>
  <si>
    <t>Budgeted as % of Req'd</t>
  </si>
  <si>
    <t>Budgeted NSS as % of Foundation</t>
  </si>
  <si>
    <t>0163 Lynn as of the latest submission to DESE</t>
  </si>
  <si>
    <t xml:space="preserve"> Was Retired Employee Health Insurance</t>
  </si>
  <si>
    <t>163 LYNN</t>
  </si>
  <si>
    <t xml:space="preserve">  Included in Schedule 19</t>
  </si>
  <si>
    <t xml:space="preserve"> of the FY93 End-of-Year Report?</t>
  </si>
  <si>
    <t xml:space="preserve">          YES-------------</t>
  </si>
  <si>
    <t>X</t>
  </si>
  <si>
    <t xml:space="preserve">           NO --------------</t>
  </si>
  <si>
    <t>Numbers from latest EOYR</t>
  </si>
  <si>
    <t>** In accordance with Section 260 of the Acts of 2014, the city agreed to fund education from FY16 through FY19 in an amount equal to the annual net school spending requirement plus $2,233,553.</t>
  </si>
  <si>
    <t>Charter foundation tuition FY17 Q3</t>
  </si>
  <si>
    <t>Choice Tuition Q2</t>
  </si>
  <si>
    <t>Other Muni Tuition</t>
  </si>
  <si>
    <t>Charter reimbursement (no facilities aid) Q3</t>
  </si>
  <si>
    <t>Treated as a penalty per Jay</t>
  </si>
  <si>
    <t>2nd year of $2.3M</t>
  </si>
  <si>
    <t>updated w/ FY17 Q3 estimate</t>
  </si>
  <si>
    <t>less waiver granted by DOR</t>
  </si>
  <si>
    <t xml:space="preserve">       14a) FY17 School Revenues</t>
  </si>
  <si>
    <t xml:space="preserve">       14b) FY17 Charter Reimbursement</t>
  </si>
  <si>
    <t>16. FY17 Required Net School Spending</t>
  </si>
  <si>
    <t>17. FY16 Carry-Over Into FY17</t>
  </si>
  <si>
    <t>18. Total FY17 Requirement (16 + 17)</t>
  </si>
  <si>
    <t>Total Required NSS FY16</t>
  </si>
  <si>
    <t xml:space="preserve"> Actual NSS FY16</t>
  </si>
  <si>
    <t>SC Revenues Budgeted for FY17</t>
  </si>
  <si>
    <t xml:space="preserve">     36a) FY18 Budgeted School Revenues</t>
  </si>
  <si>
    <t xml:space="preserve">     36b) Projected FY18 Charter Reimbursement (Local Districts)</t>
  </si>
  <si>
    <t>38. FY18 Required Net School Spending</t>
  </si>
  <si>
    <t>40. Total FY18 Requirement (38 + 39)</t>
  </si>
  <si>
    <t>FY17 Net School Spending</t>
  </si>
  <si>
    <t>Was Retired Employee Health Insurance</t>
  </si>
  <si>
    <t>163 Lynn</t>
  </si>
  <si>
    <t>Included in Schedule 19</t>
  </si>
  <si>
    <t>&lt;FY17 Budget</t>
  </si>
  <si>
    <t>of the FY93 End-of-Year Report?</t>
  </si>
  <si>
    <t>21. FY17 Carry-Over (19 or 5% of 16 or 0 if 17 &gt; 0)</t>
  </si>
  <si>
    <t>FY18 Budgeted Net School Spending</t>
  </si>
  <si>
    <t>per agreement with ESE</t>
  </si>
  <si>
    <t>No changes to charter data as of this date.</t>
  </si>
  <si>
    <t>Unexpended FY17 appropriation available to the school department</t>
  </si>
  <si>
    <t>Difference from previously reported NSS</t>
  </si>
  <si>
    <t>As of May 14, 2018</t>
  </si>
  <si>
    <t>Previously reported FY17 NSS</t>
  </si>
  <si>
    <t>Formula requirement + $2.23M - DOR waiver - $367,804 in unallocated appropriation</t>
  </si>
  <si>
    <t>Make sure this not included in FY18, add $154,943 of this amount to the FY18 requirement as a result of the EOY16 amendment</t>
  </si>
  <si>
    <t>Pioneer Valley</t>
  </si>
  <si>
    <t>Hoosac Valley</t>
  </si>
  <si>
    <t>1. Based on 1/6/22 conversation with Mike Bertino, Lynn is planning to transfer $2 million in funds originally budgeted for health insurance to the schools, which will help address some of their $4 million shortfall</t>
  </si>
  <si>
    <t>2. They will appropriate the additional shortfall from free cash</t>
  </si>
  <si>
    <t>3. Not sure how this solves their problem for FY23</t>
  </si>
  <si>
    <t>State Totals, Reporting Districts</t>
  </si>
  <si>
    <t>FY23</t>
  </si>
  <si>
    <t>Net School Spending (NSS) and Foundation Budget FY22 and FY23</t>
  </si>
  <si>
    <t>% Chg 22 to 23</t>
  </si>
  <si>
    <t>FY22</t>
  </si>
  <si>
    <t>317 Districts Reporting</t>
  </si>
  <si>
    <t>Data as of June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</si>
</sst>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0_)"/>
  </numFmts>
  <fonts count="35" x14ac:knownFonts="1">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color indexed="8"/>
      <name val="Calibri"/>
      <family val="2"/>
    </font>
    <font>
      <sz val="10"/>
      <color indexed="8"/>
      <name val="Arial"/>
      <family val="2"/>
    </font>
    <font>
      <sz val="10"/>
      <color theme="1"/>
      <name val="Calibri"/>
      <family val="2"/>
      <scheme val="minor"/>
    </font>
    <font>
      <i/>
      <sz val="10"/>
      <color theme="1"/>
      <name val="Calibri"/>
      <family val="2"/>
      <scheme val="minor"/>
    </font>
    <font>
      <b/>
      <sz val="10"/>
      <color theme="1"/>
      <name val="Calibri"/>
      <family val="2"/>
      <scheme val="minor"/>
    </font>
    <font>
      <b/>
      <sz val="10"/>
      <name val="Calibri"/>
      <family val="2"/>
      <scheme val="minor"/>
    </font>
    <font>
      <sz val="10"/>
      <name val="Calibri"/>
      <family val="2"/>
      <scheme val="minor"/>
    </font>
    <font>
      <b/>
      <sz val="12"/>
      <color theme="1"/>
      <name val="Calibri"/>
      <family val="2"/>
      <scheme val="minor"/>
    </font>
    <font>
      <sz val="9"/>
      <color indexed="81"/>
      <name val="Tahoma"/>
      <family val="2"/>
    </font>
    <font>
      <b/>
      <sz val="9"/>
      <color indexed="81"/>
      <name val="Tahoma"/>
      <family val="2"/>
    </font>
    <font>
      <sz val="12"/>
      <color theme="1"/>
      <name val="Calibri"/>
      <family val="2"/>
      <scheme val="minor"/>
    </font>
    <font>
      <sz val="10"/>
      <color indexed="12"/>
      <name val="Calibri"/>
      <family val="2"/>
      <scheme val="minor"/>
    </font>
    <font>
      <i/>
      <sz val="12"/>
      <color theme="1"/>
      <name val="Calibri"/>
      <family val="2"/>
      <scheme val="minor"/>
    </font>
    <font>
      <sz val="10"/>
      <color theme="1"/>
      <name val="Calibri"/>
      <family val="2"/>
    </font>
    <font>
      <sz val="11"/>
      <color rgb="FF000000"/>
      <name val="Calibri"/>
      <family val="2"/>
    </font>
    <font>
      <sz val="1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s>
  <fills count="39">
    <fill>
      <patternFill patternType="none"/>
    </fill>
    <fill>
      <patternFill patternType="gray125"/>
    </fill>
    <fill>
      <patternFill patternType="solid">
        <fgColor indexed="22"/>
        <bgColor indexed="0"/>
      </patternFill>
    </fill>
    <fill>
      <patternFill patternType="solid">
        <fgColor theme="0" tint="-4.9989318521683403E-2"/>
        <bgColor indexed="64"/>
      </patternFill>
    </fill>
    <fill>
      <patternFill patternType="solid">
        <fgColor indexed="9"/>
        <bgColor indexed="64"/>
      </patternFill>
    </fill>
    <fill>
      <patternFill patternType="solid">
        <fgColor indexed="42"/>
        <bgColor indexed="64"/>
      </patternFill>
    </fill>
    <fill>
      <patternFill patternType="solid">
        <fgColor theme="9" tint="0.399975585192419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diagonal/>
    </border>
    <border>
      <left style="thin">
        <color indexed="8"/>
      </left>
      <right style="thin">
        <color indexed="64"/>
      </right>
      <top style="thin">
        <color indexed="8"/>
      </top>
      <bottom style="thin">
        <color indexed="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43" fontId="17" fillId="0" borderId="0" applyFont="0" applyFill="0" applyBorder="0" applyAlignment="0" applyProtection="0"/>
    <xf numFmtId="0" fontId="19" fillId="0" borderId="0"/>
    <xf numFmtId="0" fontId="20" fillId="0" borderId="0" applyNumberFormat="0" applyFill="0" applyBorder="0" applyAlignment="0" applyProtection="0"/>
    <xf numFmtId="0" fontId="21" fillId="0" borderId="11" applyNumberFormat="0" applyFill="0" applyAlignment="0" applyProtection="0"/>
    <xf numFmtId="0" fontId="22" fillId="0" borderId="12" applyNumberFormat="0" applyFill="0" applyAlignment="0" applyProtection="0"/>
    <xf numFmtId="0" fontId="23" fillId="0" borderId="13" applyNumberFormat="0" applyFill="0" applyAlignment="0" applyProtection="0"/>
    <xf numFmtId="0" fontId="23" fillId="0" borderId="0" applyNumberFormat="0" applyFill="0" applyBorder="0" applyAlignment="0" applyProtection="0"/>
    <xf numFmtId="0" fontId="24" fillId="8" borderId="0" applyNumberFormat="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14" applyNumberFormat="0" applyAlignment="0" applyProtection="0"/>
    <xf numFmtId="0" fontId="28" fillId="12" borderId="15" applyNumberFormat="0" applyAlignment="0" applyProtection="0"/>
    <xf numFmtId="0" fontId="29" fillId="12" borderId="14" applyNumberFormat="0" applyAlignment="0" applyProtection="0"/>
    <xf numFmtId="0" fontId="30" fillId="0" borderId="16" applyNumberFormat="0" applyFill="0" applyAlignment="0" applyProtection="0"/>
    <xf numFmtId="0" fontId="31" fillId="13" borderId="17" applyNumberFormat="0" applyAlignment="0" applyProtection="0"/>
    <xf numFmtId="0" fontId="32" fillId="0" borderId="0" applyNumberFormat="0" applyFill="0" applyBorder="0" applyAlignment="0" applyProtection="0"/>
    <xf numFmtId="0" fontId="1" fillId="14" borderId="18" applyNumberFormat="0" applyFont="0" applyAlignment="0" applyProtection="0"/>
    <xf numFmtId="0" fontId="33" fillId="0" borderId="0" applyNumberFormat="0" applyFill="0" applyBorder="0" applyAlignment="0" applyProtection="0"/>
    <xf numFmtId="0" fontId="3" fillId="0" borderId="19" applyNumberFormat="0" applyFill="0" applyAlignment="0" applyProtection="0"/>
    <xf numFmtId="0" fontId="3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3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3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2" fillId="0" borderId="0"/>
  </cellStyleXfs>
  <cellXfs count="85">
    <xf numFmtId="0" fontId="0" fillId="0" borderId="0" xfId="0"/>
    <xf numFmtId="0" fontId="4" fillId="2" borderId="1" xfId="3" applyFont="1" applyFill="1" applyBorder="1" applyAlignment="1">
      <alignment horizontal="center"/>
    </xf>
    <xf numFmtId="0" fontId="4" fillId="0" borderId="2" xfId="3" applyFont="1" applyBorder="1"/>
    <xf numFmtId="0" fontId="6" fillId="0" borderId="0" xfId="0" applyFont="1"/>
    <xf numFmtId="165" fontId="6" fillId="0" borderId="0" xfId="1" applyNumberFormat="1" applyFont="1"/>
    <xf numFmtId="0" fontId="8" fillId="0" borderId="0" xfId="0" applyFont="1"/>
    <xf numFmtId="165" fontId="6" fillId="0" borderId="0" xfId="0" applyNumberFormat="1" applyFont="1"/>
    <xf numFmtId="0" fontId="11" fillId="0" borderId="0" xfId="0" applyFont="1"/>
    <xf numFmtId="3" fontId="10" fillId="0" borderId="0" xfId="0" applyNumberFormat="1" applyFont="1" applyAlignment="1">
      <alignment horizontal="center"/>
    </xf>
    <xf numFmtId="3" fontId="10" fillId="0" borderId="0" xfId="0" applyNumberFormat="1" applyFont="1"/>
    <xf numFmtId="166" fontId="6" fillId="0" borderId="0" xfId="0" applyNumberFormat="1" applyFont="1"/>
    <xf numFmtId="164" fontId="6" fillId="0" borderId="0" xfId="2" applyNumberFormat="1" applyFont="1"/>
    <xf numFmtId="0" fontId="7" fillId="0" borderId="0" xfId="0" applyFont="1" applyAlignment="1">
      <alignment horizontal="center"/>
    </xf>
    <xf numFmtId="3" fontId="9" fillId="0" borderId="0" xfId="0" applyNumberFormat="1" applyFont="1" applyAlignment="1">
      <alignment horizontal="center" vertical="center" wrapText="1"/>
    </xf>
    <xf numFmtId="0" fontId="9" fillId="0" borderId="0" xfId="0" applyFont="1" applyAlignment="1">
      <alignment horizontal="center" vertical="center" wrapText="1"/>
    </xf>
    <xf numFmtId="0" fontId="7" fillId="0" borderId="0" xfId="0" applyFont="1"/>
    <xf numFmtId="0" fontId="7" fillId="0" borderId="0" xfId="0" applyFont="1" applyAlignment="1">
      <alignment horizontal="right"/>
    </xf>
    <xf numFmtId="0" fontId="9" fillId="0" borderId="0" xfId="0" applyFont="1"/>
    <xf numFmtId="3" fontId="6" fillId="0" borderId="0" xfId="0" applyNumberFormat="1" applyFont="1"/>
    <xf numFmtId="0" fontId="14" fillId="0" borderId="0" xfId="0" applyFont="1"/>
    <xf numFmtId="3" fontId="10" fillId="4" borderId="5" xfId="0" applyNumberFormat="1" applyFont="1" applyFill="1" applyBorder="1"/>
    <xf numFmtId="3" fontId="10" fillId="4" borderId="0" xfId="0" applyNumberFormat="1" applyFont="1" applyFill="1"/>
    <xf numFmtId="3" fontId="9" fillId="4" borderId="0" xfId="0" applyNumberFormat="1" applyFont="1" applyFill="1" applyAlignment="1">
      <alignment horizontal="center"/>
    </xf>
    <xf numFmtId="3" fontId="9" fillId="4" borderId="3" xfId="0" applyNumberFormat="1" applyFont="1" applyFill="1" applyBorder="1" applyAlignment="1">
      <alignment horizontal="left"/>
    </xf>
    <xf numFmtId="3" fontId="9" fillId="4" borderId="3" xfId="0" applyNumberFormat="1" applyFont="1" applyFill="1" applyBorder="1" applyAlignment="1">
      <alignment horizontal="center"/>
    </xf>
    <xf numFmtId="3" fontId="9" fillId="4" borderId="4" xfId="0" applyNumberFormat="1" applyFont="1" applyFill="1" applyBorder="1" applyAlignment="1">
      <alignment horizontal="center"/>
    </xf>
    <xf numFmtId="3" fontId="10" fillId="4" borderId="3" xfId="0" applyNumberFormat="1" applyFont="1" applyFill="1" applyBorder="1"/>
    <xf numFmtId="3" fontId="9" fillId="4" borderId="5" xfId="0" applyNumberFormat="1" applyFont="1" applyFill="1" applyBorder="1"/>
    <xf numFmtId="3" fontId="9" fillId="4" borderId="5" xfId="0" applyNumberFormat="1" applyFont="1" applyFill="1" applyBorder="1" applyAlignment="1">
      <alignment horizontal="center"/>
    </xf>
    <xf numFmtId="3" fontId="9" fillId="4" borderId="6" xfId="0" applyNumberFormat="1" applyFont="1" applyFill="1" applyBorder="1" applyAlignment="1">
      <alignment horizontal="center"/>
    </xf>
    <xf numFmtId="3" fontId="10" fillId="4" borderId="0" xfId="0" applyNumberFormat="1" applyFont="1" applyFill="1" applyAlignment="1">
      <alignment horizontal="center"/>
    </xf>
    <xf numFmtId="3" fontId="10" fillId="0" borderId="3" xfId="0" quotePrefix="1" applyNumberFormat="1" applyFont="1" applyBorder="1"/>
    <xf numFmtId="3" fontId="15" fillId="4" borderId="1" xfId="0" applyNumberFormat="1" applyFont="1" applyFill="1" applyBorder="1"/>
    <xf numFmtId="3" fontId="10" fillId="5" borderId="3" xfId="0" applyNumberFormat="1" applyFont="1" applyFill="1" applyBorder="1" applyAlignment="1">
      <alignment horizontal="center"/>
    </xf>
    <xf numFmtId="3" fontId="10" fillId="4" borderId="0" xfId="0" applyNumberFormat="1" applyFont="1" applyFill="1" applyAlignment="1">
      <alignment horizontal="right"/>
    </xf>
    <xf numFmtId="3" fontId="15" fillId="4" borderId="8" xfId="0" applyNumberFormat="1" applyFont="1" applyFill="1" applyBorder="1"/>
    <xf numFmtId="3" fontId="10" fillId="5" borderId="3" xfId="0" applyNumberFormat="1" applyFont="1" applyFill="1" applyBorder="1"/>
    <xf numFmtId="3" fontId="15" fillId="4" borderId="3" xfId="0" applyNumberFormat="1" applyFont="1" applyFill="1" applyBorder="1"/>
    <xf numFmtId="3" fontId="10" fillId="4" borderId="4" xfId="0" applyNumberFormat="1" applyFont="1" applyFill="1" applyBorder="1"/>
    <xf numFmtId="3" fontId="10" fillId="4" borderId="8" xfId="0" applyNumberFormat="1" applyFont="1" applyFill="1" applyBorder="1"/>
    <xf numFmtId="3" fontId="10" fillId="4" borderId="3" xfId="0" quotePrefix="1" applyNumberFormat="1" applyFont="1" applyFill="1" applyBorder="1"/>
    <xf numFmtId="3" fontId="10" fillId="0" borderId="8" xfId="0" applyNumberFormat="1" applyFont="1" applyBorder="1"/>
    <xf numFmtId="3" fontId="10" fillId="4" borderId="1" xfId="0" applyNumberFormat="1" applyFont="1" applyFill="1" applyBorder="1"/>
    <xf numFmtId="3" fontId="10" fillId="4" borderId="0" xfId="0" applyNumberFormat="1" applyFont="1" applyFill="1" applyAlignment="1" applyProtection="1">
      <alignment horizontal="right"/>
      <protection hidden="1"/>
    </xf>
    <xf numFmtId="3" fontId="10" fillId="5" borderId="1" xfId="0" applyNumberFormat="1" applyFont="1" applyFill="1" applyBorder="1"/>
    <xf numFmtId="3" fontId="10" fillId="0" borderId="3" xfId="0" applyNumberFormat="1" applyFont="1" applyBorder="1"/>
    <xf numFmtId="3" fontId="15" fillId="0" borderId="3" xfId="0" applyNumberFormat="1" applyFont="1" applyBorder="1"/>
    <xf numFmtId="3" fontId="15" fillId="6" borderId="3" xfId="0" applyNumberFormat="1" applyFont="1" applyFill="1" applyBorder="1"/>
    <xf numFmtId="3" fontId="10" fillId="6" borderId="3" xfId="0" applyNumberFormat="1" applyFont="1" applyFill="1" applyBorder="1"/>
    <xf numFmtId="10" fontId="10" fillId="6" borderId="3" xfId="0" applyNumberFormat="1" applyFont="1" applyFill="1" applyBorder="1"/>
    <xf numFmtId="10" fontId="10" fillId="0" borderId="8" xfId="0" applyNumberFormat="1" applyFont="1" applyBorder="1"/>
    <xf numFmtId="3" fontId="10" fillId="6" borderId="1" xfId="0" applyNumberFormat="1" applyFont="1" applyFill="1" applyBorder="1"/>
    <xf numFmtId="3" fontId="10" fillId="4" borderId="9" xfId="0" applyNumberFormat="1" applyFont="1" applyFill="1" applyBorder="1"/>
    <xf numFmtId="3" fontId="9" fillId="4" borderId="7" xfId="0" applyNumberFormat="1" applyFont="1" applyFill="1" applyBorder="1" applyAlignment="1">
      <alignment horizontal="center"/>
    </xf>
    <xf numFmtId="3" fontId="10" fillId="6" borderId="3" xfId="0" quotePrefix="1" applyNumberFormat="1" applyFont="1" applyFill="1" applyBorder="1"/>
    <xf numFmtId="3" fontId="15" fillId="0" borderId="3" xfId="0" applyNumberFormat="1" applyFont="1" applyBorder="1" applyProtection="1">
      <protection locked="0"/>
    </xf>
    <xf numFmtId="49" fontId="10" fillId="4" borderId="3" xfId="0" applyNumberFormat="1" applyFont="1" applyFill="1" applyBorder="1"/>
    <xf numFmtId="3" fontId="10" fillId="6" borderId="3" xfId="0" applyNumberFormat="1" applyFont="1" applyFill="1" applyBorder="1" applyProtection="1">
      <protection locked="0"/>
    </xf>
    <xf numFmtId="3" fontId="10" fillId="4" borderId="1" xfId="0" quotePrefix="1" applyNumberFormat="1" applyFont="1" applyFill="1" applyBorder="1"/>
    <xf numFmtId="164" fontId="10" fillId="4" borderId="5" xfId="2" applyNumberFormat="1" applyFont="1" applyFill="1" applyBorder="1" applyAlignment="1"/>
    <xf numFmtId="3" fontId="10" fillId="6" borderId="6" xfId="0" applyNumberFormat="1" applyFont="1" applyFill="1" applyBorder="1"/>
    <xf numFmtId="3" fontId="10" fillId="6" borderId="8" xfId="0" applyNumberFormat="1" applyFont="1" applyFill="1" applyBorder="1"/>
    <xf numFmtId="3" fontId="10" fillId="7" borderId="3" xfId="0" applyNumberFormat="1" applyFont="1" applyFill="1" applyBorder="1"/>
    <xf numFmtId="0" fontId="6" fillId="0" borderId="0" xfId="0" applyFont="1" applyAlignment="1">
      <alignment horizontal="right"/>
    </xf>
    <xf numFmtId="38" fontId="6" fillId="0" borderId="0" xfId="0" applyNumberFormat="1" applyFont="1"/>
    <xf numFmtId="3" fontId="15" fillId="7" borderId="3" xfId="0" applyNumberFormat="1" applyFont="1" applyFill="1" applyBorder="1"/>
    <xf numFmtId="10" fontId="10" fillId="7" borderId="3" xfId="0" applyNumberFormat="1" applyFont="1" applyFill="1" applyBorder="1"/>
    <xf numFmtId="3" fontId="10" fillId="7" borderId="8" xfId="0" applyNumberFormat="1" applyFont="1" applyFill="1" applyBorder="1"/>
    <xf numFmtId="3" fontId="10" fillId="7" borderId="6" xfId="0" applyNumberFormat="1" applyFont="1" applyFill="1" applyBorder="1"/>
    <xf numFmtId="3" fontId="10" fillId="7" borderId="3" xfId="0" applyNumberFormat="1" applyFont="1" applyFill="1" applyBorder="1" applyProtection="1">
      <protection locked="0"/>
    </xf>
    <xf numFmtId="3" fontId="10" fillId="7" borderId="1" xfId="0" applyNumberFormat="1" applyFont="1" applyFill="1" applyBorder="1"/>
    <xf numFmtId="3" fontId="10" fillId="0" borderId="5" xfId="0" applyNumberFormat="1" applyFont="1" applyBorder="1"/>
    <xf numFmtId="3" fontId="10" fillId="0" borderId="0" xfId="0" applyNumberFormat="1" applyFont="1" applyAlignment="1">
      <alignment horizontal="right"/>
    </xf>
    <xf numFmtId="3" fontId="15" fillId="0" borderId="8" xfId="0" applyNumberFormat="1" applyFont="1" applyBorder="1"/>
    <xf numFmtId="3" fontId="10" fillId="0" borderId="0" xfId="0" applyNumberFormat="1" applyFont="1" applyAlignment="1" applyProtection="1">
      <alignment horizontal="right"/>
      <protection hidden="1"/>
    </xf>
    <xf numFmtId="0" fontId="6" fillId="0" borderId="9" xfId="0" applyFont="1" applyBorder="1"/>
    <xf numFmtId="3" fontId="10" fillId="4" borderId="10" xfId="0" applyNumberFormat="1" applyFont="1" applyFill="1" applyBorder="1"/>
    <xf numFmtId="3" fontId="18" fillId="0" borderId="0" xfId="0" applyNumberFormat="1" applyFont="1" applyAlignment="1">
      <alignment horizontal="right" vertical="center"/>
    </xf>
    <xf numFmtId="0" fontId="18" fillId="0" borderId="0" xfId="0" applyFont="1" applyAlignment="1">
      <alignment vertical="center"/>
    </xf>
    <xf numFmtId="165" fontId="8" fillId="0" borderId="0" xfId="0" applyNumberFormat="1" applyFont="1"/>
    <xf numFmtId="164" fontId="8" fillId="0" borderId="0" xfId="2" applyNumberFormat="1" applyFont="1"/>
    <xf numFmtId="0" fontId="16" fillId="0" borderId="0" xfId="0" applyFont="1"/>
    <xf numFmtId="3" fontId="10" fillId="4" borderId="5" xfId="0" applyNumberFormat="1" applyFont="1" applyFill="1" applyBorder="1" applyAlignment="1">
      <alignment horizontal="left" vertical="top" wrapText="1"/>
    </xf>
    <xf numFmtId="3" fontId="10" fillId="4" borderId="0" xfId="0" applyNumberFormat="1" applyFont="1" applyFill="1" applyAlignment="1">
      <alignment horizontal="left" vertical="top" wrapText="1"/>
    </xf>
    <xf numFmtId="0" fontId="9" fillId="3" borderId="0" xfId="0" applyFont="1" applyFill="1" applyAlignment="1">
      <alignment horizontal="center"/>
    </xf>
  </cellXfs>
  <cellStyles count="48">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1" builtinId="3"/>
    <cellStyle name="Comma 3" xfId="4" xr:uid="{00000000-0005-0000-0000-00001C000000}"/>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Input" xfId="14" builtinId="20" customBuiltin="1"/>
    <cellStyle name="Linked Cell" xfId="17" builtinId="24" customBuiltin="1"/>
    <cellStyle name="Neutral" xfId="13" builtinId="28" customBuiltin="1"/>
    <cellStyle name="Normal" xfId="0" builtinId="0"/>
    <cellStyle name="Normal 2" xfId="5" xr:uid="{00000000-0005-0000-0000-000028000000}"/>
    <cellStyle name="Normal 2 2" xfId="47" xr:uid="{9DFBC3C0-C41C-4250-9007-11F05FC71C7C}"/>
    <cellStyle name="Normal_Sheet1" xfId="3" xr:uid="{00000000-0005-0000-0000-000039000000}"/>
    <cellStyle name="Note" xfId="20" builtinId="10" customBuiltin="1"/>
    <cellStyle name="Output" xfId="15" builtinId="21" customBuiltin="1"/>
    <cellStyle name="Percent" xfId="2" builtinId="5"/>
    <cellStyle name="Title" xfId="6" builtinId="15" customBuiltin="1"/>
    <cellStyle name="Total" xfId="22" builtinId="25" customBuiltin="1"/>
    <cellStyle name="Warning Text" xfId="19" builtinId="11" customBuiltin="1"/>
  </cellStyles>
  <dxfs count="0"/>
  <tableStyles count="0" defaultTableStyle="TableStyleMedium9" defaultPivotStyle="PivotStyleLight16"/>
  <colors>
    <mruColors>
      <color rgb="FFFFFF99"/>
      <color rgb="FFDAF9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SE-FPS-MAL-001.doe.mass.edu\SHARED\FINANCE\SCHFIN\FY16data\eoy16\compliance\nss1617_we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435"/>
      <sheetName val="Web_comply"/>
      <sheetName val="Web_Status"/>
      <sheetName val="comply"/>
      <sheetName val="data"/>
      <sheetName val="convert"/>
    </sheetNames>
    <sheetDataSet>
      <sheetData sheetId="0"/>
      <sheetData sheetId="1"/>
      <sheetData sheetId="2">
        <row r="2">
          <cell r="D2" t="str">
            <v>Status</v>
          </cell>
        </row>
        <row r="3">
          <cell r="D3" t="str">
            <v>1=Display</v>
          </cell>
        </row>
        <row r="4">
          <cell r="D4" t="str">
            <v>2=bad data</v>
          </cell>
        </row>
        <row r="5">
          <cell r="D5" t="str">
            <v>3=Data not in</v>
          </cell>
        </row>
        <row r="6">
          <cell r="D6" t="str">
            <v>0=Nonop</v>
          </cell>
        </row>
        <row r="9">
          <cell r="D9" t="str">
            <v>Select a District</v>
          </cell>
        </row>
        <row r="10">
          <cell r="D10" t="str">
            <v xml:space="preserve">001 - ABINGTON                     </v>
          </cell>
        </row>
        <row r="11">
          <cell r="D11" t="str">
            <v>002 - ACTON</v>
          </cell>
        </row>
        <row r="12">
          <cell r="D12" t="str">
            <v xml:space="preserve">003 - ACUSHNET                     </v>
          </cell>
        </row>
        <row r="13">
          <cell r="D13" t="str">
            <v xml:space="preserve">004 - ADAMS                        </v>
          </cell>
        </row>
        <row r="14">
          <cell r="D14" t="str">
            <v>005 - AGAWAM</v>
          </cell>
        </row>
        <row r="15">
          <cell r="D15" t="str">
            <v xml:space="preserve">006 - ALFORD                       </v>
          </cell>
        </row>
        <row r="16">
          <cell r="D16" t="str">
            <v xml:space="preserve">007 - AMESBURY                     </v>
          </cell>
        </row>
        <row r="17">
          <cell r="D17" t="str">
            <v xml:space="preserve">008 - AMHERST                      </v>
          </cell>
        </row>
        <row r="18">
          <cell r="D18" t="str">
            <v xml:space="preserve">009 - ANDOVER                      </v>
          </cell>
        </row>
        <row r="19">
          <cell r="D19" t="str">
            <v xml:space="preserve">010 - ARLINGTON                    </v>
          </cell>
        </row>
        <row r="20">
          <cell r="D20" t="str">
            <v xml:space="preserve">011 - ASHBURNHAM                   </v>
          </cell>
        </row>
        <row r="21">
          <cell r="D21" t="str">
            <v xml:space="preserve">012 - ASHBY                        </v>
          </cell>
        </row>
        <row r="22">
          <cell r="D22" t="str">
            <v xml:space="preserve">013 - ASHFIELD                     </v>
          </cell>
        </row>
        <row r="23">
          <cell r="D23" t="str">
            <v xml:space="preserve">014 - ASHLAND                      </v>
          </cell>
        </row>
        <row r="24">
          <cell r="D24" t="str">
            <v xml:space="preserve">015 - ATHOL                        </v>
          </cell>
        </row>
        <row r="25">
          <cell r="D25" t="str">
            <v xml:space="preserve">016 - ATTLEBORO                    </v>
          </cell>
        </row>
        <row r="26">
          <cell r="D26" t="str">
            <v xml:space="preserve">017 - AUBURN                       </v>
          </cell>
        </row>
        <row r="27">
          <cell r="D27" t="str">
            <v xml:space="preserve">018 - AVON                         </v>
          </cell>
        </row>
        <row r="28">
          <cell r="D28" t="str">
            <v xml:space="preserve">019 - AYER                         </v>
          </cell>
        </row>
        <row r="29">
          <cell r="D29" t="str">
            <v xml:space="preserve">020 - BARNSTABLE                   </v>
          </cell>
        </row>
        <row r="30">
          <cell r="D30" t="str">
            <v xml:space="preserve">021 - BARRE                        </v>
          </cell>
        </row>
        <row r="31">
          <cell r="D31" t="str">
            <v xml:space="preserve">022 - BECKET                       </v>
          </cell>
        </row>
        <row r="32">
          <cell r="D32" t="str">
            <v xml:space="preserve">023 - BEDFORD                      </v>
          </cell>
        </row>
        <row r="33">
          <cell r="D33" t="str">
            <v xml:space="preserve">024 - BELCHERTOWN                  </v>
          </cell>
        </row>
        <row r="34">
          <cell r="D34" t="str">
            <v xml:space="preserve">025 - BELLINGHAM                   </v>
          </cell>
        </row>
        <row r="35">
          <cell r="D35" t="str">
            <v xml:space="preserve">026 - BELMONT                      </v>
          </cell>
        </row>
        <row r="36">
          <cell r="D36" t="str">
            <v xml:space="preserve">027 - BERKLEY                      </v>
          </cell>
        </row>
        <row r="37">
          <cell r="D37" t="str">
            <v xml:space="preserve">028 - BERLIN                       </v>
          </cell>
        </row>
        <row r="38">
          <cell r="D38" t="str">
            <v xml:space="preserve">029 - BERNARDSTON                  </v>
          </cell>
        </row>
        <row r="39">
          <cell r="D39" t="str">
            <v xml:space="preserve">030 - BEVERLY                      </v>
          </cell>
        </row>
        <row r="40">
          <cell r="D40" t="str">
            <v xml:space="preserve">031 - BILLERICA                    </v>
          </cell>
        </row>
        <row r="41">
          <cell r="D41" t="str">
            <v xml:space="preserve">032 - BLACKSTONE                   </v>
          </cell>
        </row>
        <row r="42">
          <cell r="D42" t="str">
            <v xml:space="preserve">033 - BLANDFORD                    </v>
          </cell>
        </row>
        <row r="43">
          <cell r="D43" t="str">
            <v xml:space="preserve">034 - BOLTON                       </v>
          </cell>
        </row>
        <row r="44">
          <cell r="D44" t="str">
            <v xml:space="preserve">035 - BOSTON                       </v>
          </cell>
        </row>
        <row r="45">
          <cell r="D45" t="str">
            <v xml:space="preserve">036 - BOURNE                       </v>
          </cell>
        </row>
        <row r="46">
          <cell r="D46" t="str">
            <v xml:space="preserve">037 - BOXBOROUGH                   </v>
          </cell>
        </row>
        <row r="47">
          <cell r="D47" t="str">
            <v xml:space="preserve">038 - BOXFORD                      </v>
          </cell>
        </row>
        <row r="48">
          <cell r="D48" t="str">
            <v xml:space="preserve">039 - BOYLSTON                     </v>
          </cell>
        </row>
        <row r="49">
          <cell r="D49" t="str">
            <v xml:space="preserve">040 - BRAINTREE                    </v>
          </cell>
        </row>
        <row r="50">
          <cell r="D50" t="str">
            <v xml:space="preserve">041 - BREWSTER                     </v>
          </cell>
        </row>
        <row r="51">
          <cell r="D51" t="str">
            <v xml:space="preserve">042 - BRIDGEWATER                  </v>
          </cell>
        </row>
        <row r="52">
          <cell r="D52" t="str">
            <v xml:space="preserve">043 - BRIMFIELD                    </v>
          </cell>
        </row>
        <row r="53">
          <cell r="D53" t="str">
            <v xml:space="preserve">044 - BROCKTON                     </v>
          </cell>
        </row>
        <row r="54">
          <cell r="D54" t="str">
            <v xml:space="preserve">045 - BROOKFIELD                   </v>
          </cell>
        </row>
        <row r="55">
          <cell r="D55" t="str">
            <v xml:space="preserve">046 - BROOKLINE                    </v>
          </cell>
        </row>
        <row r="56">
          <cell r="D56" t="str">
            <v xml:space="preserve">047 - BUCKLAND                     </v>
          </cell>
        </row>
        <row r="57">
          <cell r="D57" t="str">
            <v xml:space="preserve">048 - BURLINGTON                   </v>
          </cell>
        </row>
        <row r="58">
          <cell r="D58" t="str">
            <v xml:space="preserve">049 - CAMBRIDGE                    </v>
          </cell>
        </row>
        <row r="59">
          <cell r="D59" t="str">
            <v xml:space="preserve">050 - CANTON                       </v>
          </cell>
        </row>
        <row r="60">
          <cell r="D60" t="str">
            <v xml:space="preserve">051 - CARLISLE                     </v>
          </cell>
        </row>
        <row r="61">
          <cell r="D61" t="str">
            <v xml:space="preserve">052 - CARVER                       </v>
          </cell>
        </row>
        <row r="62">
          <cell r="D62" t="str">
            <v xml:space="preserve">053 - CHARLEMONT                   </v>
          </cell>
        </row>
        <row r="63">
          <cell r="D63" t="str">
            <v xml:space="preserve">054 - CHARLTON                     </v>
          </cell>
        </row>
        <row r="64">
          <cell r="D64" t="str">
            <v xml:space="preserve">055 - CHATHAM                      </v>
          </cell>
        </row>
        <row r="65">
          <cell r="D65" t="str">
            <v xml:space="preserve">056 - CHELMSFORD                   </v>
          </cell>
        </row>
        <row r="66">
          <cell r="D66" t="str">
            <v xml:space="preserve">057 - CHELSEA                      </v>
          </cell>
        </row>
        <row r="67">
          <cell r="D67" t="str">
            <v xml:space="preserve">058 - CHESHIRE                     </v>
          </cell>
        </row>
        <row r="68">
          <cell r="D68" t="str">
            <v xml:space="preserve">059 - CHESTER                      </v>
          </cell>
        </row>
        <row r="69">
          <cell r="D69" t="str">
            <v xml:space="preserve">060 - CHESTERFIELD                 </v>
          </cell>
        </row>
        <row r="70">
          <cell r="D70" t="str">
            <v xml:space="preserve">061 - CHICOPEE                     </v>
          </cell>
        </row>
        <row r="71">
          <cell r="D71" t="str">
            <v xml:space="preserve">062 - CHILMARK                     </v>
          </cell>
        </row>
        <row r="72">
          <cell r="D72" t="str">
            <v xml:space="preserve">063 - CLARKSBURG                   </v>
          </cell>
        </row>
        <row r="73">
          <cell r="D73" t="str">
            <v xml:space="preserve">064 - CLINTON                      </v>
          </cell>
        </row>
        <row r="74">
          <cell r="D74" t="str">
            <v xml:space="preserve">065 - COHASSET                     </v>
          </cell>
        </row>
        <row r="75">
          <cell r="D75" t="str">
            <v xml:space="preserve">066 - COLRAIN                      </v>
          </cell>
        </row>
        <row r="76">
          <cell r="D76" t="str">
            <v xml:space="preserve">067 - CONCORD                      </v>
          </cell>
        </row>
        <row r="77">
          <cell r="D77" t="str">
            <v xml:space="preserve">068 - CONWAY                       </v>
          </cell>
        </row>
        <row r="78">
          <cell r="D78" t="str">
            <v xml:space="preserve">069 - CUMMINGTON                   </v>
          </cell>
        </row>
        <row r="79">
          <cell r="D79" t="str">
            <v xml:space="preserve">070 - DALTON                       </v>
          </cell>
        </row>
        <row r="80">
          <cell r="D80" t="str">
            <v xml:space="preserve">071 - DANVERS                      </v>
          </cell>
        </row>
        <row r="81">
          <cell r="D81" t="str">
            <v xml:space="preserve">072 - DARTMOUTH                    </v>
          </cell>
        </row>
        <row r="82">
          <cell r="D82" t="str">
            <v xml:space="preserve">073 - DEDHAM                       </v>
          </cell>
        </row>
        <row r="83">
          <cell r="D83" t="str">
            <v xml:space="preserve">074 - DEERFIELD                    </v>
          </cell>
        </row>
        <row r="84">
          <cell r="D84" t="str">
            <v xml:space="preserve">075 - DENNIS                       </v>
          </cell>
        </row>
        <row r="85">
          <cell r="D85" t="str">
            <v xml:space="preserve">076 - DIGHTON                      </v>
          </cell>
        </row>
        <row r="86">
          <cell r="D86" t="str">
            <v xml:space="preserve">077 - DOUGLAS                      </v>
          </cell>
        </row>
        <row r="87">
          <cell r="D87" t="str">
            <v xml:space="preserve">078 - DOVER                        </v>
          </cell>
        </row>
        <row r="88">
          <cell r="D88" t="str">
            <v xml:space="preserve">079 - DRACUT                       </v>
          </cell>
        </row>
        <row r="89">
          <cell r="D89" t="str">
            <v xml:space="preserve">080 - DUDLEY                       </v>
          </cell>
        </row>
        <row r="90">
          <cell r="D90" t="str">
            <v xml:space="preserve">081 - DUNSTABLE                    </v>
          </cell>
        </row>
        <row r="91">
          <cell r="D91" t="str">
            <v xml:space="preserve">082 - DUXBURY                      </v>
          </cell>
        </row>
        <row r="92">
          <cell r="D92" t="str">
            <v xml:space="preserve">083 - EAST BRIDGEWATER             </v>
          </cell>
        </row>
        <row r="93">
          <cell r="D93" t="str">
            <v xml:space="preserve">084 - EAST BROOKFIELD              </v>
          </cell>
        </row>
        <row r="94">
          <cell r="D94" t="str">
            <v xml:space="preserve">085 - EASTHAM                      </v>
          </cell>
        </row>
        <row r="95">
          <cell r="D95" t="str">
            <v xml:space="preserve">086 - EASTHAMPTON                  </v>
          </cell>
        </row>
        <row r="96">
          <cell r="D96" t="str">
            <v xml:space="preserve">087 - EAST LONGMEADOW              </v>
          </cell>
        </row>
        <row r="97">
          <cell r="D97" t="str">
            <v xml:space="preserve">088 - EASTON                       </v>
          </cell>
        </row>
        <row r="98">
          <cell r="D98" t="str">
            <v xml:space="preserve">089 - EDGARTOWN                    </v>
          </cell>
        </row>
        <row r="99">
          <cell r="D99" t="str">
            <v xml:space="preserve">090 - EGREMONT                     </v>
          </cell>
        </row>
        <row r="100">
          <cell r="D100" t="str">
            <v xml:space="preserve">091 - ERVING                       </v>
          </cell>
        </row>
        <row r="101">
          <cell r="D101" t="str">
            <v xml:space="preserve">092 - ESSEX                        </v>
          </cell>
        </row>
        <row r="102">
          <cell r="D102" t="str">
            <v xml:space="preserve">093 - EVERETT                      </v>
          </cell>
        </row>
        <row r="103">
          <cell r="D103" t="str">
            <v xml:space="preserve">094 - FAIRHAVEN                    </v>
          </cell>
        </row>
        <row r="104">
          <cell r="D104" t="str">
            <v xml:space="preserve">095 - FALL RIVER                   </v>
          </cell>
        </row>
        <row r="105">
          <cell r="D105" t="str">
            <v xml:space="preserve">096 - FALMOUTH                     </v>
          </cell>
        </row>
        <row r="106">
          <cell r="D106" t="str">
            <v xml:space="preserve">097 - FITCHBURG                    </v>
          </cell>
        </row>
        <row r="107">
          <cell r="D107" t="str">
            <v xml:space="preserve">098 - FLORIDA                      </v>
          </cell>
        </row>
        <row r="108">
          <cell r="D108" t="str">
            <v xml:space="preserve">099 - FOXBOROUGH                   </v>
          </cell>
        </row>
        <row r="109">
          <cell r="D109" t="str">
            <v xml:space="preserve">100 - FRAMINGHAM                   </v>
          </cell>
        </row>
        <row r="110">
          <cell r="D110" t="str">
            <v xml:space="preserve">101 - FRANKLIN                     </v>
          </cell>
        </row>
        <row r="111">
          <cell r="D111" t="str">
            <v xml:space="preserve">102 - FREETOWN                     </v>
          </cell>
        </row>
        <row r="112">
          <cell r="D112" t="str">
            <v xml:space="preserve">103 - GARDNER                      </v>
          </cell>
        </row>
        <row r="113">
          <cell r="D113" t="str">
            <v xml:space="preserve">104 - GAY HEAD                     </v>
          </cell>
        </row>
        <row r="114">
          <cell r="D114" t="str">
            <v xml:space="preserve">105 - GEORGETOWN                   </v>
          </cell>
        </row>
        <row r="115">
          <cell r="D115" t="str">
            <v xml:space="preserve">106 - GILL                         </v>
          </cell>
        </row>
        <row r="116">
          <cell r="D116" t="str">
            <v xml:space="preserve">107 - GLOUCESTER                   </v>
          </cell>
        </row>
        <row r="117">
          <cell r="D117" t="str">
            <v xml:space="preserve">108 - GOSHEN                       </v>
          </cell>
        </row>
        <row r="118">
          <cell r="D118" t="str">
            <v xml:space="preserve">109 - GOSNOLD                      </v>
          </cell>
        </row>
        <row r="119">
          <cell r="D119" t="str">
            <v xml:space="preserve">110 - GRAFTON                      </v>
          </cell>
        </row>
        <row r="120">
          <cell r="D120" t="str">
            <v xml:space="preserve">111 - GRANBY                       </v>
          </cell>
        </row>
        <row r="121">
          <cell r="D121" t="str">
            <v xml:space="preserve">112 - GRANVILLE                    </v>
          </cell>
        </row>
        <row r="122">
          <cell r="D122" t="str">
            <v xml:space="preserve">113 - GREAT BARRINGTON             </v>
          </cell>
        </row>
        <row r="123">
          <cell r="D123" t="str">
            <v xml:space="preserve">114 - GREENFIELD                   </v>
          </cell>
        </row>
        <row r="124">
          <cell r="D124" t="str">
            <v xml:space="preserve">115 - GROTON                       </v>
          </cell>
        </row>
        <row r="125">
          <cell r="D125" t="str">
            <v xml:space="preserve">116 - GROVELAND                    </v>
          </cell>
        </row>
        <row r="126">
          <cell r="D126" t="str">
            <v xml:space="preserve">117 - HADLEY                       </v>
          </cell>
        </row>
        <row r="127">
          <cell r="D127" t="str">
            <v xml:space="preserve">118 - HALIFAX                      </v>
          </cell>
        </row>
        <row r="128">
          <cell r="D128" t="str">
            <v xml:space="preserve">119 - HAMILTON                     </v>
          </cell>
        </row>
        <row r="129">
          <cell r="D129" t="str">
            <v xml:space="preserve">120 - HAMPDEN                      </v>
          </cell>
        </row>
        <row r="130">
          <cell r="D130" t="str">
            <v xml:space="preserve">121 - HANCOCK                      </v>
          </cell>
        </row>
        <row r="131">
          <cell r="D131" t="str">
            <v xml:space="preserve">122 - HANOVER                      </v>
          </cell>
        </row>
        <row r="132">
          <cell r="D132" t="str">
            <v xml:space="preserve">123 - HANSON                       </v>
          </cell>
        </row>
        <row r="133">
          <cell r="D133" t="str">
            <v xml:space="preserve">124 - HARDWICK                     </v>
          </cell>
        </row>
        <row r="134">
          <cell r="D134" t="str">
            <v xml:space="preserve">125 - HARVARD                      </v>
          </cell>
        </row>
        <row r="135">
          <cell r="D135" t="str">
            <v xml:space="preserve">126 - HARWICH                      </v>
          </cell>
        </row>
        <row r="136">
          <cell r="D136" t="str">
            <v xml:space="preserve">127 - HATFIELD                     </v>
          </cell>
        </row>
        <row r="137">
          <cell r="D137" t="str">
            <v xml:space="preserve">128 - HAVERHILL                    </v>
          </cell>
        </row>
        <row r="138">
          <cell r="D138" t="str">
            <v xml:space="preserve">129 - HAWLEY                       </v>
          </cell>
        </row>
        <row r="139">
          <cell r="D139" t="str">
            <v xml:space="preserve">130 - HEATH                        </v>
          </cell>
        </row>
        <row r="140">
          <cell r="D140" t="str">
            <v xml:space="preserve">131 - HINGHAM                      </v>
          </cell>
        </row>
        <row r="141">
          <cell r="D141" t="str">
            <v xml:space="preserve">132 - HINSDALE                     </v>
          </cell>
        </row>
        <row r="142">
          <cell r="D142" t="str">
            <v xml:space="preserve">133 - HOLBROOK                     </v>
          </cell>
        </row>
        <row r="143">
          <cell r="D143" t="str">
            <v xml:space="preserve">134 - HOLDEN                       </v>
          </cell>
        </row>
        <row r="144">
          <cell r="D144" t="str">
            <v xml:space="preserve">135 - HOLLAND                      </v>
          </cell>
        </row>
        <row r="145">
          <cell r="D145" t="str">
            <v xml:space="preserve">136 - HOLLISTON                    </v>
          </cell>
        </row>
        <row r="146">
          <cell r="D146" t="str">
            <v xml:space="preserve">137 - HOLYOKE                      </v>
          </cell>
        </row>
        <row r="147">
          <cell r="D147" t="str">
            <v xml:space="preserve">138 - HOPEDALE                     </v>
          </cell>
        </row>
        <row r="148">
          <cell r="D148" t="str">
            <v xml:space="preserve">139 - HOPKINTON                    </v>
          </cell>
        </row>
        <row r="149">
          <cell r="D149" t="str">
            <v xml:space="preserve">140 - HUBBARDSTON                  </v>
          </cell>
        </row>
        <row r="150">
          <cell r="D150" t="str">
            <v xml:space="preserve">141 - HUDSON                       </v>
          </cell>
        </row>
        <row r="151">
          <cell r="D151" t="str">
            <v xml:space="preserve">142 - HULL                         </v>
          </cell>
        </row>
        <row r="152">
          <cell r="D152" t="str">
            <v xml:space="preserve">143 - HUNTINGTON                   </v>
          </cell>
        </row>
        <row r="153">
          <cell r="D153" t="str">
            <v xml:space="preserve">144 - IPSWICH                      </v>
          </cell>
        </row>
        <row r="154">
          <cell r="D154" t="str">
            <v xml:space="preserve">145 - KINGSTON                     </v>
          </cell>
        </row>
        <row r="155">
          <cell r="D155" t="str">
            <v xml:space="preserve">146 - LAKEVILLE                    </v>
          </cell>
        </row>
        <row r="156">
          <cell r="D156" t="str">
            <v xml:space="preserve">147 - LANCASTER                    </v>
          </cell>
        </row>
        <row r="157">
          <cell r="D157" t="str">
            <v xml:space="preserve">148 - LANESBOROUGH                 </v>
          </cell>
        </row>
        <row r="158">
          <cell r="D158" t="str">
            <v xml:space="preserve">149 - LAWRENCE                     </v>
          </cell>
        </row>
        <row r="159">
          <cell r="D159" t="str">
            <v xml:space="preserve">150 - LEE                          </v>
          </cell>
        </row>
        <row r="160">
          <cell r="D160" t="str">
            <v xml:space="preserve">151 - LEICESTER                    </v>
          </cell>
        </row>
        <row r="161">
          <cell r="D161" t="str">
            <v xml:space="preserve">152 - LENOX                        </v>
          </cell>
        </row>
        <row r="162">
          <cell r="D162" t="str">
            <v xml:space="preserve">153 - LEOMINSTER                   </v>
          </cell>
        </row>
        <row r="163">
          <cell r="D163" t="str">
            <v xml:space="preserve">154 - LEVERETT                     </v>
          </cell>
        </row>
        <row r="164">
          <cell r="D164" t="str">
            <v xml:space="preserve">155 - LEXINGTON                    </v>
          </cell>
        </row>
        <row r="165">
          <cell r="D165" t="str">
            <v xml:space="preserve">156 - LEYDEN                       </v>
          </cell>
        </row>
        <row r="166">
          <cell r="D166" t="str">
            <v xml:space="preserve">157 - LINCOLN                      </v>
          </cell>
        </row>
        <row r="167">
          <cell r="D167" t="str">
            <v xml:space="preserve">158 - LITTLETON                    </v>
          </cell>
        </row>
        <row r="168">
          <cell r="D168" t="str">
            <v xml:space="preserve">159 - LONGMEADOW                   </v>
          </cell>
        </row>
        <row r="169">
          <cell r="D169" t="str">
            <v xml:space="preserve">160 - LOWELL                       </v>
          </cell>
        </row>
        <row r="170">
          <cell r="D170" t="str">
            <v xml:space="preserve">161 - LUDLOW                       </v>
          </cell>
        </row>
        <row r="171">
          <cell r="D171" t="str">
            <v xml:space="preserve">162 - LUNENBURG                    </v>
          </cell>
        </row>
        <row r="172">
          <cell r="D172" t="str">
            <v xml:space="preserve">163 - LYNN                         </v>
          </cell>
        </row>
        <row r="173">
          <cell r="D173" t="str">
            <v xml:space="preserve">164 - LYNNFIELD                    </v>
          </cell>
        </row>
        <row r="174">
          <cell r="D174" t="str">
            <v xml:space="preserve">165 - MALDEN                       </v>
          </cell>
        </row>
        <row r="175">
          <cell r="D175" t="str">
            <v xml:space="preserve">166 - MANCHESTER                   </v>
          </cell>
        </row>
        <row r="176">
          <cell r="D176" t="str">
            <v xml:space="preserve">167 - MANSFIELD                    </v>
          </cell>
        </row>
        <row r="177">
          <cell r="D177" t="str">
            <v xml:space="preserve">168 - MARBLEHEAD                   </v>
          </cell>
        </row>
        <row r="178">
          <cell r="D178" t="str">
            <v xml:space="preserve">169 - MARION                       </v>
          </cell>
        </row>
        <row r="179">
          <cell r="D179" t="str">
            <v xml:space="preserve">170 - MARLBOROUGH                  </v>
          </cell>
        </row>
        <row r="180">
          <cell r="D180" t="str">
            <v xml:space="preserve">171 - MARSHFIELD                   </v>
          </cell>
        </row>
        <row r="181">
          <cell r="D181" t="str">
            <v xml:space="preserve">172 - MASHPEE                      </v>
          </cell>
        </row>
        <row r="182">
          <cell r="D182" t="str">
            <v xml:space="preserve">173 - MATTAPOISETT                 </v>
          </cell>
        </row>
        <row r="183">
          <cell r="D183" t="str">
            <v xml:space="preserve">174 - MAYNARD                      </v>
          </cell>
        </row>
        <row r="184">
          <cell r="D184" t="str">
            <v xml:space="preserve">175 - MEDFIELD                     </v>
          </cell>
        </row>
        <row r="185">
          <cell r="D185" t="str">
            <v xml:space="preserve">176 - MEDFORD                      </v>
          </cell>
        </row>
        <row r="186">
          <cell r="D186" t="str">
            <v xml:space="preserve">177 - MEDWAY                       </v>
          </cell>
        </row>
        <row r="187">
          <cell r="D187" t="str">
            <v xml:space="preserve">178 - MELROSE                      </v>
          </cell>
        </row>
        <row r="188">
          <cell r="D188" t="str">
            <v xml:space="preserve">179 - MENDON                       </v>
          </cell>
        </row>
        <row r="189">
          <cell r="D189" t="str">
            <v xml:space="preserve">180 - MERRIMAC                     </v>
          </cell>
        </row>
        <row r="190">
          <cell r="D190" t="str">
            <v xml:space="preserve">181 - METHUEN                      </v>
          </cell>
        </row>
        <row r="191">
          <cell r="D191" t="str">
            <v xml:space="preserve">182 - MIDDLEBOROUGH                </v>
          </cell>
        </row>
        <row r="192">
          <cell r="D192" t="str">
            <v xml:space="preserve">183 - MIDDLEFIELD                  </v>
          </cell>
        </row>
        <row r="193">
          <cell r="D193" t="str">
            <v xml:space="preserve">184 - MIDDLETON                    </v>
          </cell>
        </row>
        <row r="194">
          <cell r="D194" t="str">
            <v xml:space="preserve">185 - MILFORD                      </v>
          </cell>
        </row>
        <row r="195">
          <cell r="D195" t="str">
            <v xml:space="preserve">186 - MILLBURY                     </v>
          </cell>
        </row>
        <row r="196">
          <cell r="D196" t="str">
            <v xml:space="preserve">187 - MILLIS                       </v>
          </cell>
        </row>
        <row r="197">
          <cell r="D197" t="str">
            <v xml:space="preserve">188 - MILLVILLE                    </v>
          </cell>
        </row>
        <row r="198">
          <cell r="D198" t="str">
            <v xml:space="preserve">189 - MILTON                       </v>
          </cell>
        </row>
        <row r="199">
          <cell r="D199" t="str">
            <v xml:space="preserve">190 - MONROE                       </v>
          </cell>
        </row>
        <row r="200">
          <cell r="D200" t="str">
            <v xml:space="preserve">191 - MONSON                       </v>
          </cell>
        </row>
        <row r="201">
          <cell r="D201" t="str">
            <v xml:space="preserve">192 - MONTAGUE                     </v>
          </cell>
        </row>
        <row r="202">
          <cell r="D202" t="str">
            <v xml:space="preserve">193 - MONTEREY                     </v>
          </cell>
        </row>
        <row r="203">
          <cell r="D203" t="str">
            <v xml:space="preserve">194 - MONTGOMERY                   </v>
          </cell>
        </row>
        <row r="204">
          <cell r="D204" t="str">
            <v xml:space="preserve">195 - MOUNT WASHINGTON             </v>
          </cell>
        </row>
        <row r="205">
          <cell r="D205" t="str">
            <v xml:space="preserve">196 - NAHANT                       </v>
          </cell>
        </row>
        <row r="206">
          <cell r="D206" t="str">
            <v xml:space="preserve">197 - NANTUCKET                    </v>
          </cell>
        </row>
        <row r="207">
          <cell r="D207" t="str">
            <v xml:space="preserve">198 - NATICK                       </v>
          </cell>
        </row>
        <row r="208">
          <cell r="D208" t="str">
            <v xml:space="preserve">199 - NEEDHAM                      </v>
          </cell>
        </row>
        <row r="209">
          <cell r="D209" t="str">
            <v xml:space="preserve">200 - NEW ASHFORD                  </v>
          </cell>
        </row>
        <row r="210">
          <cell r="D210" t="str">
            <v xml:space="preserve">201 - NEW BEDFORD                  </v>
          </cell>
        </row>
        <row r="211">
          <cell r="D211" t="str">
            <v xml:space="preserve">202 - NEW BRAINTREE                </v>
          </cell>
        </row>
        <row r="212">
          <cell r="D212" t="str">
            <v xml:space="preserve">203 - NEWBURY                      </v>
          </cell>
        </row>
        <row r="213">
          <cell r="D213" t="str">
            <v xml:space="preserve">204 - NEWBURYPORT                  </v>
          </cell>
        </row>
        <row r="214">
          <cell r="D214" t="str">
            <v xml:space="preserve">205 - NEW MARLBOROUGH              </v>
          </cell>
        </row>
        <row r="215">
          <cell r="D215" t="str">
            <v xml:space="preserve">206 - NEW SALEM                    </v>
          </cell>
        </row>
        <row r="216">
          <cell r="D216" t="str">
            <v xml:space="preserve">207 - NEWTON                       </v>
          </cell>
        </row>
        <row r="217">
          <cell r="D217" t="str">
            <v xml:space="preserve">208 - NORFOLK                      </v>
          </cell>
        </row>
        <row r="218">
          <cell r="D218" t="str">
            <v xml:space="preserve">209 - NORTH ADAMS                  </v>
          </cell>
        </row>
        <row r="219">
          <cell r="D219" t="str">
            <v xml:space="preserve">210 - NORTHAMPTON                  </v>
          </cell>
        </row>
        <row r="220">
          <cell r="D220" t="str">
            <v xml:space="preserve">211 - NORTH ANDOVER                </v>
          </cell>
        </row>
        <row r="221">
          <cell r="D221" t="str">
            <v xml:space="preserve">212 - NORTH ATTLEBOROUGH           </v>
          </cell>
        </row>
        <row r="222">
          <cell r="D222" t="str">
            <v xml:space="preserve">213 - NORTHBOROUGH                 </v>
          </cell>
        </row>
        <row r="223">
          <cell r="D223" t="str">
            <v xml:space="preserve">214 - NORTHBRIDGE                  </v>
          </cell>
        </row>
        <row r="224">
          <cell r="D224" t="str">
            <v xml:space="preserve">215 - NORTH BROOKFIELD             </v>
          </cell>
        </row>
        <row r="225">
          <cell r="D225" t="str">
            <v xml:space="preserve">216 - NORTHFIELD                   </v>
          </cell>
        </row>
        <row r="226">
          <cell r="D226" t="str">
            <v xml:space="preserve">217 - NORTH READING                </v>
          </cell>
        </row>
        <row r="227">
          <cell r="D227" t="str">
            <v xml:space="preserve">218 - NORTON                       </v>
          </cell>
        </row>
        <row r="228">
          <cell r="D228" t="str">
            <v xml:space="preserve">219 - NORWELL                      </v>
          </cell>
        </row>
        <row r="229">
          <cell r="D229" t="str">
            <v xml:space="preserve">220 - NORWOOD                      </v>
          </cell>
        </row>
        <row r="230">
          <cell r="D230" t="str">
            <v xml:space="preserve">221 - OAK BLUFFS                   </v>
          </cell>
        </row>
        <row r="231">
          <cell r="D231" t="str">
            <v xml:space="preserve">222 - OAKHAM                       </v>
          </cell>
        </row>
        <row r="232">
          <cell r="D232" t="str">
            <v xml:space="preserve">223 - ORANGE                       </v>
          </cell>
        </row>
        <row r="233">
          <cell r="D233" t="str">
            <v xml:space="preserve">224 - ORLEANS                      </v>
          </cell>
        </row>
        <row r="234">
          <cell r="D234" t="str">
            <v xml:space="preserve">225 - OTIS                         </v>
          </cell>
        </row>
        <row r="235">
          <cell r="D235" t="str">
            <v xml:space="preserve">226 - OXFORD                       </v>
          </cell>
        </row>
        <row r="236">
          <cell r="D236" t="str">
            <v xml:space="preserve">227 - PALMER                       </v>
          </cell>
        </row>
        <row r="237">
          <cell r="D237" t="str">
            <v xml:space="preserve">228 - PAXTON                       </v>
          </cell>
        </row>
        <row r="238">
          <cell r="D238" t="str">
            <v xml:space="preserve">229 - PEABODY                      </v>
          </cell>
        </row>
        <row r="239">
          <cell r="D239" t="str">
            <v xml:space="preserve">230 - PELHAM                       </v>
          </cell>
        </row>
        <row r="240">
          <cell r="D240" t="str">
            <v xml:space="preserve">231 - PEMBROKE                     </v>
          </cell>
        </row>
        <row r="241">
          <cell r="D241" t="str">
            <v xml:space="preserve">232 - PEPPERELL                    </v>
          </cell>
        </row>
        <row r="242">
          <cell r="D242" t="str">
            <v xml:space="preserve">233 - PERU                         </v>
          </cell>
        </row>
        <row r="243">
          <cell r="D243" t="str">
            <v xml:space="preserve">234 - PETERSHAM                    </v>
          </cell>
        </row>
        <row r="244">
          <cell r="D244" t="str">
            <v xml:space="preserve">235 - PHILLIPSTON                  </v>
          </cell>
        </row>
        <row r="245">
          <cell r="D245" t="str">
            <v xml:space="preserve">236 - PITTSFIELD                   </v>
          </cell>
        </row>
        <row r="246">
          <cell r="D246" t="str">
            <v xml:space="preserve">237 - PLAINFIELD                   </v>
          </cell>
        </row>
        <row r="247">
          <cell r="D247" t="str">
            <v xml:space="preserve">238 - PLAINVILLE                   </v>
          </cell>
        </row>
        <row r="248">
          <cell r="D248" t="str">
            <v xml:space="preserve">239 - PLYMOUTH                     </v>
          </cell>
        </row>
        <row r="249">
          <cell r="D249" t="str">
            <v xml:space="preserve">240 - PLYMPTON                     </v>
          </cell>
        </row>
        <row r="250">
          <cell r="D250" t="str">
            <v xml:space="preserve">241 - PRINCETON                    </v>
          </cell>
        </row>
        <row r="251">
          <cell r="D251" t="str">
            <v xml:space="preserve">242 - PROVINCETOWN                 </v>
          </cell>
        </row>
        <row r="252">
          <cell r="D252" t="str">
            <v xml:space="preserve">243 - QUINCY                       </v>
          </cell>
        </row>
        <row r="253">
          <cell r="D253" t="str">
            <v xml:space="preserve">244 - RANDOLPH                     </v>
          </cell>
        </row>
        <row r="254">
          <cell r="D254" t="str">
            <v xml:space="preserve">245 - RAYNHAM                      </v>
          </cell>
        </row>
        <row r="255">
          <cell r="D255" t="str">
            <v xml:space="preserve">246 - READING                      </v>
          </cell>
        </row>
        <row r="256">
          <cell r="D256" t="str">
            <v xml:space="preserve">247 - REHOBOTH                     </v>
          </cell>
        </row>
        <row r="257">
          <cell r="D257" t="str">
            <v xml:space="preserve">248 - REVERE                       </v>
          </cell>
        </row>
        <row r="258">
          <cell r="D258" t="str">
            <v xml:space="preserve">249 - RICHMOND                     </v>
          </cell>
        </row>
        <row r="259">
          <cell r="D259" t="str">
            <v xml:space="preserve">250 - ROCHESTER                    </v>
          </cell>
        </row>
        <row r="260">
          <cell r="D260" t="str">
            <v xml:space="preserve">251 - ROCKLAND                     </v>
          </cell>
        </row>
        <row r="261">
          <cell r="D261" t="str">
            <v xml:space="preserve">252 - ROCKPORT                     </v>
          </cell>
        </row>
        <row r="262">
          <cell r="D262" t="str">
            <v xml:space="preserve">253 - ROWE                         </v>
          </cell>
        </row>
        <row r="263">
          <cell r="D263" t="str">
            <v xml:space="preserve">254 - ROWLEY                       </v>
          </cell>
        </row>
        <row r="264">
          <cell r="D264" t="str">
            <v xml:space="preserve">255 - ROYALSTON                    </v>
          </cell>
        </row>
        <row r="265">
          <cell r="D265" t="str">
            <v xml:space="preserve">256 - RUSSELL                      </v>
          </cell>
        </row>
        <row r="266">
          <cell r="D266" t="str">
            <v xml:space="preserve">257 - RUTLAND                      </v>
          </cell>
        </row>
        <row r="267">
          <cell r="D267" t="str">
            <v xml:space="preserve">258 - SALEM                        </v>
          </cell>
        </row>
        <row r="268">
          <cell r="D268" t="str">
            <v xml:space="preserve">259 - SALISBURY                    </v>
          </cell>
        </row>
        <row r="269">
          <cell r="D269" t="str">
            <v xml:space="preserve">260 - SANDISFIELD                  </v>
          </cell>
        </row>
        <row r="270">
          <cell r="D270" t="str">
            <v xml:space="preserve">261 - SANDWICH                     </v>
          </cell>
        </row>
        <row r="271">
          <cell r="D271" t="str">
            <v xml:space="preserve">262 - SAUGUS                       </v>
          </cell>
        </row>
        <row r="272">
          <cell r="D272" t="str">
            <v xml:space="preserve">263 - SAVOY                        </v>
          </cell>
        </row>
        <row r="273">
          <cell r="D273" t="str">
            <v xml:space="preserve">264 - SCITUATE                     </v>
          </cell>
        </row>
        <row r="274">
          <cell r="D274" t="str">
            <v xml:space="preserve">265 - SEEKONK                      </v>
          </cell>
        </row>
        <row r="275">
          <cell r="D275" t="str">
            <v xml:space="preserve">266 - SHARON                       </v>
          </cell>
        </row>
        <row r="276">
          <cell r="D276" t="str">
            <v xml:space="preserve">267 - SHEFFIELD                    </v>
          </cell>
        </row>
        <row r="277">
          <cell r="D277" t="str">
            <v xml:space="preserve">268 - SHELBURNE                    </v>
          </cell>
        </row>
        <row r="278">
          <cell r="D278" t="str">
            <v xml:space="preserve">269 - SHERBORN                     </v>
          </cell>
        </row>
        <row r="279">
          <cell r="D279" t="str">
            <v xml:space="preserve">270 - SHIRLEY                      </v>
          </cell>
        </row>
        <row r="280">
          <cell r="D280" t="str">
            <v xml:space="preserve">271 - SHREWSBURY                   </v>
          </cell>
        </row>
        <row r="281">
          <cell r="D281" t="str">
            <v xml:space="preserve">272 - SHUTESBURY                   </v>
          </cell>
        </row>
        <row r="282">
          <cell r="D282" t="str">
            <v xml:space="preserve">273 - SOMERSET                     </v>
          </cell>
        </row>
        <row r="283">
          <cell r="D283" t="str">
            <v xml:space="preserve">274 - SOMERVILLE                   </v>
          </cell>
        </row>
        <row r="284">
          <cell r="D284" t="str">
            <v xml:space="preserve">275 - SOUTHAMPTON                  </v>
          </cell>
        </row>
        <row r="285">
          <cell r="D285" t="str">
            <v xml:space="preserve">276 - SOUTHBOROUGH                 </v>
          </cell>
        </row>
        <row r="286">
          <cell r="D286" t="str">
            <v xml:space="preserve">277 - SOUTHBRIDGE                  </v>
          </cell>
        </row>
        <row r="287">
          <cell r="D287" t="str">
            <v xml:space="preserve">278 - SOUTH HADLEY                 </v>
          </cell>
        </row>
        <row r="288">
          <cell r="D288" t="str">
            <v xml:space="preserve">279 - SOUTHWICK                    </v>
          </cell>
        </row>
        <row r="289">
          <cell r="D289" t="str">
            <v xml:space="preserve">280 - SPENCER                      </v>
          </cell>
        </row>
        <row r="290">
          <cell r="D290" t="str">
            <v xml:space="preserve">281 - SPRINGFIELD                  </v>
          </cell>
        </row>
        <row r="291">
          <cell r="D291" t="str">
            <v xml:space="preserve">282 - STERLING                     </v>
          </cell>
        </row>
        <row r="292">
          <cell r="D292" t="str">
            <v xml:space="preserve">283 - STOCKBRIDGE                  </v>
          </cell>
        </row>
        <row r="293">
          <cell r="D293" t="str">
            <v xml:space="preserve">284 - STONEHAM                     </v>
          </cell>
        </row>
        <row r="294">
          <cell r="D294" t="str">
            <v xml:space="preserve">285 - STOUGHTON                    </v>
          </cell>
        </row>
        <row r="295">
          <cell r="D295" t="str">
            <v xml:space="preserve">286 - STOW                         </v>
          </cell>
        </row>
        <row r="296">
          <cell r="D296" t="str">
            <v xml:space="preserve">287 - STURBRIDGE                   </v>
          </cell>
        </row>
        <row r="297">
          <cell r="D297" t="str">
            <v xml:space="preserve">288 - SUDBURY                      </v>
          </cell>
        </row>
        <row r="298">
          <cell r="D298" t="str">
            <v xml:space="preserve">289 - SUNDERLAND                   </v>
          </cell>
        </row>
        <row r="299">
          <cell r="D299" t="str">
            <v xml:space="preserve">290 - SUTTON                       </v>
          </cell>
        </row>
        <row r="300">
          <cell r="D300" t="str">
            <v xml:space="preserve">291 - SWAMPSCOTT                   </v>
          </cell>
        </row>
        <row r="301">
          <cell r="D301" t="str">
            <v xml:space="preserve">292 - SWANSEA                      </v>
          </cell>
        </row>
        <row r="302">
          <cell r="D302" t="str">
            <v xml:space="preserve">293 - TAUNTON                      </v>
          </cell>
        </row>
        <row r="303">
          <cell r="D303" t="str">
            <v xml:space="preserve">294 - TEMPLETON                    </v>
          </cell>
        </row>
        <row r="304">
          <cell r="D304" t="str">
            <v xml:space="preserve">295 - TEWKSBURY                    </v>
          </cell>
        </row>
        <row r="305">
          <cell r="D305" t="str">
            <v xml:space="preserve">296 - TISBURY                      </v>
          </cell>
        </row>
        <row r="306">
          <cell r="D306" t="str">
            <v xml:space="preserve">297 - TOLLAND                      </v>
          </cell>
        </row>
        <row r="307">
          <cell r="D307" t="str">
            <v xml:space="preserve">298 - TOPSFIELD                    </v>
          </cell>
        </row>
        <row r="308">
          <cell r="D308" t="str">
            <v xml:space="preserve">299 - TOWNSEND                     </v>
          </cell>
        </row>
        <row r="309">
          <cell r="D309" t="str">
            <v xml:space="preserve">300 - TRURO                        </v>
          </cell>
        </row>
        <row r="310">
          <cell r="D310" t="str">
            <v xml:space="preserve">301 - TYNGSBOROUGH                 </v>
          </cell>
        </row>
        <row r="311">
          <cell r="D311" t="str">
            <v xml:space="preserve">302 - TYRINGHAM                    </v>
          </cell>
        </row>
        <row r="312">
          <cell r="D312" t="str">
            <v xml:space="preserve">303 - UPTON                        </v>
          </cell>
        </row>
        <row r="313">
          <cell r="D313" t="str">
            <v xml:space="preserve">304 - UXBRIDGE                     </v>
          </cell>
        </row>
        <row r="314">
          <cell r="D314" t="str">
            <v xml:space="preserve">305 - WAKEFIELD                    </v>
          </cell>
        </row>
        <row r="315">
          <cell r="D315" t="str">
            <v xml:space="preserve">306 - WALES                        </v>
          </cell>
        </row>
        <row r="316">
          <cell r="D316" t="str">
            <v xml:space="preserve">307 - WALPOLE                      </v>
          </cell>
        </row>
        <row r="317">
          <cell r="D317" t="str">
            <v xml:space="preserve">308 - WALTHAM                      </v>
          </cell>
        </row>
        <row r="318">
          <cell r="D318" t="str">
            <v xml:space="preserve">309 - WARE                         </v>
          </cell>
        </row>
        <row r="319">
          <cell r="D319" t="str">
            <v xml:space="preserve">310 - WAREHAM                      </v>
          </cell>
        </row>
        <row r="320">
          <cell r="D320" t="str">
            <v xml:space="preserve">311 - WARREN                       </v>
          </cell>
        </row>
        <row r="321">
          <cell r="D321" t="str">
            <v xml:space="preserve">312 - WARWICK                      </v>
          </cell>
        </row>
        <row r="322">
          <cell r="D322" t="str">
            <v xml:space="preserve">313 - WASHINGTON                   </v>
          </cell>
        </row>
        <row r="323">
          <cell r="D323" t="str">
            <v xml:space="preserve">314 - WATERTOWN                    </v>
          </cell>
        </row>
        <row r="324">
          <cell r="D324" t="str">
            <v xml:space="preserve">315 - WAYLAND                      </v>
          </cell>
        </row>
        <row r="325">
          <cell r="D325" t="str">
            <v xml:space="preserve">316 - WEBSTER                      </v>
          </cell>
        </row>
        <row r="326">
          <cell r="D326" t="str">
            <v xml:space="preserve">317 - WELLESLEY                    </v>
          </cell>
        </row>
        <row r="327">
          <cell r="D327" t="str">
            <v xml:space="preserve">318 - WELLFLEET                    </v>
          </cell>
        </row>
        <row r="328">
          <cell r="D328" t="str">
            <v xml:space="preserve">319 - WENDELL                      </v>
          </cell>
        </row>
        <row r="329">
          <cell r="D329" t="str">
            <v xml:space="preserve">320 - WENHAM                       </v>
          </cell>
        </row>
        <row r="330">
          <cell r="D330" t="str">
            <v xml:space="preserve">321 - WESTBOROUGH                  </v>
          </cell>
        </row>
        <row r="331">
          <cell r="D331" t="str">
            <v xml:space="preserve">322 - WEST BOYLSTON                </v>
          </cell>
        </row>
        <row r="332">
          <cell r="D332" t="str">
            <v xml:space="preserve">323 - WEST BRIDGEWATER             </v>
          </cell>
        </row>
        <row r="333">
          <cell r="D333" t="str">
            <v xml:space="preserve">324 - WEST BROOKFIELD              </v>
          </cell>
        </row>
        <row r="334">
          <cell r="D334" t="str">
            <v xml:space="preserve">325 - WESTFIELD                    </v>
          </cell>
        </row>
        <row r="335">
          <cell r="D335" t="str">
            <v xml:space="preserve">326 - WESTFORD                     </v>
          </cell>
        </row>
        <row r="336">
          <cell r="D336" t="str">
            <v xml:space="preserve">327 - WESTHAMPTON                  </v>
          </cell>
        </row>
        <row r="337">
          <cell r="D337" t="str">
            <v xml:space="preserve">328 - WESTMINSTER                  </v>
          </cell>
        </row>
        <row r="338">
          <cell r="D338" t="str">
            <v xml:space="preserve">329 - WEST NEWBURY                 </v>
          </cell>
        </row>
        <row r="339">
          <cell r="D339" t="str">
            <v xml:space="preserve">330 - WESTON                       </v>
          </cell>
        </row>
        <row r="340">
          <cell r="D340" t="str">
            <v xml:space="preserve">331 - WESTPORT                     </v>
          </cell>
        </row>
        <row r="341">
          <cell r="D341" t="str">
            <v xml:space="preserve">332 - WEST SPRINGFIELD             </v>
          </cell>
        </row>
        <row r="342">
          <cell r="D342" t="str">
            <v xml:space="preserve">333 - WEST STOCKBRIDGE             </v>
          </cell>
        </row>
        <row r="343">
          <cell r="D343" t="str">
            <v xml:space="preserve">334 - WEST TISBURY                 </v>
          </cell>
        </row>
        <row r="344">
          <cell r="D344" t="str">
            <v xml:space="preserve">335 - WESTWOOD                     </v>
          </cell>
        </row>
        <row r="345">
          <cell r="D345" t="str">
            <v xml:space="preserve">336 - WEYMOUTH                     </v>
          </cell>
        </row>
        <row r="346">
          <cell r="D346" t="str">
            <v xml:space="preserve">337 - WHATELY                      </v>
          </cell>
        </row>
        <row r="347">
          <cell r="D347" t="str">
            <v xml:space="preserve">338 - WHITMAN                      </v>
          </cell>
        </row>
        <row r="348">
          <cell r="D348" t="str">
            <v xml:space="preserve">339 - WILBRAHAM                    </v>
          </cell>
        </row>
        <row r="349">
          <cell r="D349" t="str">
            <v xml:space="preserve">340 - WILLIAMSBURG                 </v>
          </cell>
        </row>
        <row r="350">
          <cell r="D350" t="str">
            <v xml:space="preserve">341 - WILLIAMSTOWN                 </v>
          </cell>
        </row>
        <row r="351">
          <cell r="D351" t="str">
            <v xml:space="preserve">342 - WILMINGTON                   </v>
          </cell>
        </row>
        <row r="352">
          <cell r="D352" t="str">
            <v xml:space="preserve">343 - WINCHENDON                   </v>
          </cell>
        </row>
        <row r="353">
          <cell r="D353" t="str">
            <v xml:space="preserve">344 - WINCHESTER                   </v>
          </cell>
        </row>
        <row r="354">
          <cell r="D354" t="str">
            <v xml:space="preserve">345 - WINDSOR                      </v>
          </cell>
        </row>
        <row r="355">
          <cell r="D355" t="str">
            <v xml:space="preserve">346 - WINTHROP                     </v>
          </cell>
        </row>
        <row r="356">
          <cell r="D356" t="str">
            <v>347 - WOBURN</v>
          </cell>
        </row>
        <row r="357">
          <cell r="D357" t="str">
            <v xml:space="preserve">348 - WORCESTER                    </v>
          </cell>
        </row>
        <row r="358">
          <cell r="D358" t="str">
            <v xml:space="preserve">349 - WORTHINGTON                  </v>
          </cell>
        </row>
        <row r="359">
          <cell r="D359" t="str">
            <v xml:space="preserve">350 - WRENTHAM                     </v>
          </cell>
        </row>
        <row r="360">
          <cell r="D360" t="str">
            <v xml:space="preserve">351 - YARMOUTH                     </v>
          </cell>
        </row>
        <row r="361">
          <cell r="D361" t="str">
            <v xml:space="preserve">406 - NORTHAMPTON SMITH            </v>
          </cell>
        </row>
        <row r="362">
          <cell r="D362" t="str">
            <v xml:space="preserve">600 - ACTON BOXBOROUGH             </v>
          </cell>
        </row>
        <row r="363">
          <cell r="D363" t="str">
            <v xml:space="preserve">603 - ADAMS CHESHIRE               </v>
          </cell>
        </row>
        <row r="364">
          <cell r="D364" t="str">
            <v xml:space="preserve">605 - AMHERST PELHAM               </v>
          </cell>
        </row>
        <row r="365">
          <cell r="D365" t="str">
            <v xml:space="preserve">610 - ASHBURNHAM WESTMINSTER       </v>
          </cell>
        </row>
        <row r="366">
          <cell r="D366" t="str">
            <v xml:space="preserve">615 - ATHOL ROYALSTON              </v>
          </cell>
        </row>
        <row r="367">
          <cell r="D367" t="str">
            <v>616 - AYER SHIRLEY</v>
          </cell>
        </row>
        <row r="368">
          <cell r="D368" t="str">
            <v xml:space="preserve">618 - BERKSHIRE HILLS              </v>
          </cell>
        </row>
        <row r="369">
          <cell r="D369" t="str">
            <v xml:space="preserve">620 - BERLIN BOYLSTON              </v>
          </cell>
        </row>
        <row r="370">
          <cell r="D370" t="str">
            <v xml:space="preserve">622 - BLACKSTONE MILLVILLE         </v>
          </cell>
        </row>
        <row r="371">
          <cell r="D371" t="str">
            <v xml:space="preserve">625 - BRIDGEWATER RAYNHAM          </v>
          </cell>
        </row>
        <row r="372">
          <cell r="D372" t="str">
            <v>632 - CHESTERFIELD GOSHEN</v>
          </cell>
        </row>
        <row r="373">
          <cell r="D373" t="str">
            <v xml:space="preserve">635 - CENTRAL BERKSHIRE            </v>
          </cell>
        </row>
        <row r="374">
          <cell r="D374" t="str">
            <v xml:space="preserve">640 - CONCORD CARLISLE             </v>
          </cell>
        </row>
        <row r="375">
          <cell r="D375" t="str">
            <v xml:space="preserve">645 - DENNIS YARMOUTH              </v>
          </cell>
        </row>
        <row r="376">
          <cell r="D376" t="str">
            <v xml:space="preserve">650 - DIGHTON REHOBOTH             </v>
          </cell>
        </row>
        <row r="377">
          <cell r="D377" t="str">
            <v xml:space="preserve">655 - DOVER SHERBORN               </v>
          </cell>
        </row>
        <row r="378">
          <cell r="D378" t="str">
            <v xml:space="preserve">658 - DUDLEY CHARLTON              </v>
          </cell>
        </row>
        <row r="379">
          <cell r="D379" t="str">
            <v xml:space="preserve">660 - NAUSET                       </v>
          </cell>
        </row>
        <row r="380">
          <cell r="D380" t="str">
            <v>662 - FARMINGTON RIVER</v>
          </cell>
        </row>
        <row r="381">
          <cell r="D381" t="str">
            <v xml:space="preserve">665 - FREETOWN LAKEVILLE           </v>
          </cell>
        </row>
        <row r="382">
          <cell r="D382" t="str">
            <v xml:space="preserve">670 - FRONTIER                     </v>
          </cell>
        </row>
        <row r="383">
          <cell r="D383" t="str">
            <v xml:space="preserve">672 - GATEWAY                      </v>
          </cell>
        </row>
        <row r="384">
          <cell r="D384" t="str">
            <v xml:space="preserve">673 - GROTON DUNSTABLE             </v>
          </cell>
        </row>
        <row r="385">
          <cell r="D385" t="str">
            <v xml:space="preserve">674 - GILL MONTAGUE                </v>
          </cell>
        </row>
        <row r="386">
          <cell r="D386" t="str">
            <v xml:space="preserve">675 - HAMILTON WENHAM              </v>
          </cell>
        </row>
        <row r="387">
          <cell r="D387" t="str">
            <v xml:space="preserve">680 - HAMPDEN WILBRAHAM            </v>
          </cell>
        </row>
        <row r="388">
          <cell r="D388" t="str">
            <v xml:space="preserve">683 - HAMPSHIRE                    </v>
          </cell>
        </row>
        <row r="389">
          <cell r="D389" t="str">
            <v xml:space="preserve">685 - HAWLEMONT                    </v>
          </cell>
        </row>
        <row r="390">
          <cell r="D390" t="str">
            <v xml:space="preserve">690 - KING PHILIP                  </v>
          </cell>
        </row>
        <row r="391">
          <cell r="D391" t="str">
            <v xml:space="preserve">695 - LINCOLN SUDBURY              </v>
          </cell>
        </row>
        <row r="392">
          <cell r="D392" t="str">
            <v>698 - MANCHESTER ESSEX</v>
          </cell>
        </row>
        <row r="393">
          <cell r="D393" t="str">
            <v xml:space="preserve">700 - MARTHAS VINEYARD             </v>
          </cell>
        </row>
        <row r="394">
          <cell r="D394" t="str">
            <v xml:space="preserve">705 - MASCONOMET                   </v>
          </cell>
        </row>
        <row r="395">
          <cell r="D395" t="str">
            <v xml:space="preserve">710 - MENDON UPTON                 </v>
          </cell>
        </row>
        <row r="396">
          <cell r="D396" t="str">
            <v>712 - MONOMOY</v>
          </cell>
        </row>
        <row r="397">
          <cell r="D397" t="str">
            <v xml:space="preserve">715 - MOUNT GREYLOCK               </v>
          </cell>
        </row>
        <row r="398">
          <cell r="D398" t="str">
            <v xml:space="preserve">717 - MOHAWK TRAIL                 </v>
          </cell>
        </row>
        <row r="399">
          <cell r="D399" t="str">
            <v xml:space="preserve">720 - NARRAGANSETT                 </v>
          </cell>
        </row>
        <row r="400">
          <cell r="D400" t="str">
            <v xml:space="preserve">725 - NASHOBA                      </v>
          </cell>
        </row>
        <row r="401">
          <cell r="D401" t="str">
            <v xml:space="preserve">728 - NEW SALEM WENDELL            </v>
          </cell>
        </row>
        <row r="402">
          <cell r="D402" t="str">
            <v xml:space="preserve">730 - NORTHBORO SOUTHBORO          </v>
          </cell>
        </row>
        <row r="403">
          <cell r="D403" t="str">
            <v xml:space="preserve">735 - NORTH MIDDLESEX              </v>
          </cell>
        </row>
        <row r="404">
          <cell r="D404" t="str">
            <v xml:space="preserve">740 - OLD ROCHESTER                </v>
          </cell>
        </row>
        <row r="405">
          <cell r="D405" t="str">
            <v xml:space="preserve">745 - PENTUCKET                    </v>
          </cell>
        </row>
        <row r="406">
          <cell r="D406" t="str">
            <v xml:space="preserve">750 - PIONEER                      </v>
          </cell>
        </row>
        <row r="407">
          <cell r="D407" t="str">
            <v xml:space="preserve">753 - QUABBIN                      </v>
          </cell>
        </row>
        <row r="408">
          <cell r="D408" t="str">
            <v xml:space="preserve">755 - RALPH C MAHAR                </v>
          </cell>
        </row>
        <row r="409">
          <cell r="D409" t="str">
            <v xml:space="preserve">760 - SILVER LAKE                  </v>
          </cell>
        </row>
        <row r="410">
          <cell r="D410" t="str">
            <v>763 - SOMERSET BERKLEY</v>
          </cell>
        </row>
        <row r="411">
          <cell r="D411" t="str">
            <v xml:space="preserve">765 - SOUTHERN BERKSHIRE           </v>
          </cell>
        </row>
        <row r="412">
          <cell r="D412" t="str">
            <v>766 - SOUTHWICK TOLLAND</v>
          </cell>
        </row>
        <row r="413">
          <cell r="D413" t="str">
            <v xml:space="preserve">767 - SPENCER EAST BROOKFIELD      </v>
          </cell>
        </row>
        <row r="414">
          <cell r="D414" t="str">
            <v xml:space="preserve">770 - TANTASQUA                    </v>
          </cell>
        </row>
        <row r="415">
          <cell r="D415" t="str">
            <v xml:space="preserve">773 - TRITON                       </v>
          </cell>
        </row>
        <row r="416">
          <cell r="D416" t="str">
            <v>774 - UPISLAND</v>
          </cell>
        </row>
        <row r="417">
          <cell r="D417" t="str">
            <v xml:space="preserve">775 - WACHUSETT                    </v>
          </cell>
        </row>
        <row r="418">
          <cell r="D418" t="str">
            <v>778 - QUABOAG</v>
          </cell>
        </row>
        <row r="419">
          <cell r="D419" t="str">
            <v xml:space="preserve">780 - WHITMAN HANSON               </v>
          </cell>
        </row>
        <row r="420">
          <cell r="D420" t="str">
            <v xml:space="preserve">801 - ASSABET VALLEY               </v>
          </cell>
        </row>
        <row r="421">
          <cell r="D421" t="str">
            <v xml:space="preserve">805 - BLACKSTONE VALLEY            </v>
          </cell>
        </row>
        <row r="422">
          <cell r="D422" t="str">
            <v xml:space="preserve">806 - BLUE HILLS                   </v>
          </cell>
        </row>
        <row r="423">
          <cell r="D423" t="str">
            <v xml:space="preserve">810 - BRISTOL PLYMOUTH             </v>
          </cell>
        </row>
        <row r="424">
          <cell r="D424" t="str">
            <v xml:space="preserve">815 - CAPE COD                     </v>
          </cell>
        </row>
        <row r="425">
          <cell r="D425" t="str">
            <v>817 - ESSEX NORTH SHORE</v>
          </cell>
        </row>
        <row r="426">
          <cell r="D426" t="str">
            <v xml:space="preserve">818 - FRANKLIN COUNTY              </v>
          </cell>
        </row>
        <row r="427">
          <cell r="D427" t="str">
            <v xml:space="preserve">821 - GREATER FALL RIVER           </v>
          </cell>
        </row>
        <row r="428">
          <cell r="D428" t="str">
            <v xml:space="preserve">823 - GREATER LAWRENCE             </v>
          </cell>
        </row>
        <row r="429">
          <cell r="D429" t="str">
            <v xml:space="preserve">825 - GREATER NEW BEDFORD          </v>
          </cell>
        </row>
        <row r="430">
          <cell r="D430" t="str">
            <v xml:space="preserve">828 - GREATER LOWELL               </v>
          </cell>
        </row>
        <row r="431">
          <cell r="D431" t="str">
            <v xml:space="preserve">829 - SOUTH MIDDLESEX              </v>
          </cell>
        </row>
        <row r="432">
          <cell r="D432" t="str">
            <v xml:space="preserve">830 - MINUTEMAN                    </v>
          </cell>
        </row>
        <row r="433">
          <cell r="D433" t="str">
            <v xml:space="preserve">832 - MONTACHUSETT                 </v>
          </cell>
        </row>
        <row r="434">
          <cell r="D434" t="str">
            <v xml:space="preserve">851 - NORTHERN BERKSHIRE           </v>
          </cell>
        </row>
        <row r="435">
          <cell r="D435" t="str">
            <v xml:space="preserve">852 - NASHOBA VALLEY               </v>
          </cell>
        </row>
        <row r="436">
          <cell r="D436" t="str">
            <v xml:space="preserve">853 - NORTHEAST METROPOLITAN       </v>
          </cell>
        </row>
        <row r="437">
          <cell r="D437" t="str">
            <v xml:space="preserve">855 - OLD COLONY                   </v>
          </cell>
        </row>
        <row r="438">
          <cell r="D438" t="str">
            <v xml:space="preserve">860 - PATHFINDER                   </v>
          </cell>
        </row>
        <row r="439">
          <cell r="D439" t="str">
            <v xml:space="preserve">871 - SHAWSHEEN VALLEY             </v>
          </cell>
        </row>
        <row r="440">
          <cell r="D440" t="str">
            <v xml:space="preserve">872 - SOUTHEASTERN                 </v>
          </cell>
        </row>
        <row r="441">
          <cell r="D441" t="str">
            <v xml:space="preserve">873 - SOUTH SHORE                  </v>
          </cell>
        </row>
        <row r="442">
          <cell r="D442" t="str">
            <v xml:space="preserve">876 - SOUTHERN WORCESTER           </v>
          </cell>
        </row>
        <row r="443">
          <cell r="D443" t="str">
            <v xml:space="preserve">878 - TRI COUNTY                   </v>
          </cell>
        </row>
        <row r="444">
          <cell r="D444" t="str">
            <v xml:space="preserve">879 - UPPER CAPE COD               </v>
          </cell>
        </row>
        <row r="445">
          <cell r="D445" t="str">
            <v xml:space="preserve">885 - WHITTIER                     </v>
          </cell>
        </row>
        <row r="446">
          <cell r="D446" t="str">
            <v xml:space="preserve">910 - BRISTOL COUNTY               </v>
          </cell>
        </row>
        <row r="447">
          <cell r="D447" t="str">
            <v xml:space="preserve">915 - NORFOLK COUNTY               </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RADAR">
      <a:dk1>
        <a:sysClr val="windowText" lastClr="000000"/>
      </a:dk1>
      <a:lt1>
        <a:sysClr val="window" lastClr="FFFFFF"/>
      </a:lt1>
      <a:dk2>
        <a:srgbClr val="1F497D"/>
      </a:dk2>
      <a:lt2>
        <a:srgbClr val="EEECE1"/>
      </a:lt2>
      <a:accent1>
        <a:srgbClr val="4F81BD"/>
      </a:accent1>
      <a:accent2>
        <a:srgbClr val="E36C09"/>
      </a:accent2>
      <a:accent3>
        <a:srgbClr val="7F7F7F"/>
      </a:accent3>
      <a:accent4>
        <a:srgbClr val="244061"/>
      </a:accent4>
      <a:accent5>
        <a:srgbClr val="FAC395"/>
      </a:accent5>
      <a:accent6>
        <a:srgbClr val="F2F2F2"/>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63"/>
  <sheetViews>
    <sheetView topLeftCell="W1" zoomScaleNormal="100" workbookViewId="0">
      <selection activeCell="X5" sqref="X5"/>
    </sheetView>
  </sheetViews>
  <sheetFormatPr defaultColWidth="8.81640625" defaultRowHeight="13" x14ac:dyDescent="0.3"/>
  <cols>
    <col min="1" max="1" width="7.1796875" style="3" hidden="1" customWidth="1"/>
    <col min="2" max="2" width="51.1796875" style="3" hidden="1" customWidth="1"/>
    <col min="3" max="6" width="11.81640625" style="3" hidden="1" customWidth="1"/>
    <col min="7" max="7" width="10.1796875" style="3" hidden="1" customWidth="1"/>
    <col min="8" max="8" width="5.453125" style="3" hidden="1" customWidth="1"/>
    <col min="9" max="9" width="18.1796875" style="3" hidden="1" customWidth="1"/>
    <col min="10" max="10" width="13.453125" style="3" hidden="1" customWidth="1"/>
    <col min="11" max="11" width="27.81640625" style="3" hidden="1" customWidth="1"/>
    <col min="12" max="12" width="0" style="3" hidden="1" customWidth="1"/>
    <col min="13" max="13" width="7.1796875" style="3" hidden="1" customWidth="1"/>
    <col min="14" max="14" width="51.1796875" style="3" hidden="1" customWidth="1"/>
    <col min="15" max="15" width="10.81640625" style="3" hidden="1" customWidth="1"/>
    <col min="16" max="16" width="9.81640625" style="3" hidden="1" customWidth="1"/>
    <col min="17" max="17" width="11.54296875" style="3" hidden="1" customWidth="1"/>
    <col min="18" max="18" width="18.453125" style="3" hidden="1" customWidth="1"/>
    <col min="19" max="22" width="18.1796875" style="3" hidden="1" customWidth="1"/>
    <col min="23" max="16384" width="8.81640625" style="3"/>
  </cols>
  <sheetData>
    <row r="1" spans="1:24" x14ac:dyDescent="0.3">
      <c r="A1" s="21" t="s">
        <v>980</v>
      </c>
      <c r="B1" s="21"/>
      <c r="C1" s="21"/>
      <c r="D1" s="21"/>
      <c r="E1" s="21"/>
      <c r="F1" s="21"/>
      <c r="G1" s="21"/>
      <c r="H1" s="21"/>
      <c r="I1" s="21"/>
      <c r="J1" s="21"/>
    </row>
    <row r="2" spans="1:24" x14ac:dyDescent="0.3">
      <c r="A2" s="21"/>
      <c r="B2" s="21"/>
      <c r="C2" s="22"/>
      <c r="D2" s="22"/>
      <c r="E2" s="21"/>
      <c r="F2" s="21"/>
      <c r="G2" s="21"/>
      <c r="H2" s="21"/>
      <c r="I2" s="21"/>
      <c r="J2" s="21"/>
      <c r="M2" s="3" t="s">
        <v>1022</v>
      </c>
      <c r="X2" s="3" t="s">
        <v>1028</v>
      </c>
    </row>
    <row r="3" spans="1:24" x14ac:dyDescent="0.3">
      <c r="A3" s="21"/>
      <c r="B3" s="23" t="s">
        <v>963</v>
      </c>
      <c r="C3" s="24" t="s">
        <v>964</v>
      </c>
      <c r="D3" s="25" t="s">
        <v>965</v>
      </c>
      <c r="E3" s="26"/>
      <c r="F3" s="24"/>
      <c r="G3" s="20"/>
      <c r="H3" s="21"/>
      <c r="I3" s="21" t="s">
        <v>981</v>
      </c>
      <c r="J3" s="21"/>
      <c r="M3" s="9"/>
      <c r="N3" s="23" t="s">
        <v>1010</v>
      </c>
      <c r="O3" s="24" t="s">
        <v>964</v>
      </c>
      <c r="P3" s="25" t="s">
        <v>965</v>
      </c>
      <c r="Q3" s="26"/>
      <c r="R3" s="25"/>
      <c r="S3" s="9"/>
      <c r="T3" s="9"/>
      <c r="U3" s="9"/>
      <c r="V3" s="9"/>
      <c r="X3" s="3" t="s">
        <v>1029</v>
      </c>
    </row>
    <row r="4" spans="1:24" x14ac:dyDescent="0.3">
      <c r="A4" s="21"/>
      <c r="B4" s="27" t="s">
        <v>982</v>
      </c>
      <c r="C4" s="28" t="s">
        <v>966</v>
      </c>
      <c r="D4" s="29" t="s">
        <v>967</v>
      </c>
      <c r="E4" s="20"/>
      <c r="F4" s="29" t="s">
        <v>492</v>
      </c>
      <c r="G4" s="20"/>
      <c r="H4" s="21"/>
      <c r="I4" s="21" t="s">
        <v>983</v>
      </c>
      <c r="J4" s="21"/>
      <c r="M4" s="9"/>
      <c r="N4" s="27" t="s">
        <v>1012</v>
      </c>
      <c r="O4" s="28" t="s">
        <v>966</v>
      </c>
      <c r="P4" s="29" t="s">
        <v>967</v>
      </c>
      <c r="Q4" s="20"/>
      <c r="R4" s="29" t="s">
        <v>492</v>
      </c>
      <c r="S4" s="71"/>
      <c r="T4" s="9"/>
      <c r="U4" s="9" t="s">
        <v>1011</v>
      </c>
      <c r="V4" s="9"/>
      <c r="X4" s="3" t="s">
        <v>1030</v>
      </c>
    </row>
    <row r="5" spans="1:24" x14ac:dyDescent="0.3">
      <c r="A5" s="30">
        <v>10</v>
      </c>
      <c r="B5" s="26" t="s">
        <v>467</v>
      </c>
      <c r="C5" s="31">
        <v>5024573</v>
      </c>
      <c r="D5" s="32">
        <v>1747283</v>
      </c>
      <c r="E5" s="33" t="s">
        <v>968</v>
      </c>
      <c r="F5" s="26">
        <v>6771856</v>
      </c>
      <c r="G5" s="20"/>
      <c r="H5" s="21"/>
      <c r="I5" s="21" t="s">
        <v>984</v>
      </c>
      <c r="J5" s="21"/>
      <c r="M5" s="8">
        <v>10</v>
      </c>
      <c r="N5" s="26" t="s">
        <v>467</v>
      </c>
      <c r="O5" s="31">
        <v>4391292</v>
      </c>
      <c r="P5" s="32">
        <v>1792586</v>
      </c>
      <c r="Q5" s="33" t="s">
        <v>1014</v>
      </c>
      <c r="R5" s="26">
        <v>6183878</v>
      </c>
      <c r="S5" s="71"/>
      <c r="T5" s="9"/>
      <c r="U5" s="9" t="s">
        <v>1013</v>
      </c>
      <c r="V5" s="9"/>
    </row>
    <row r="6" spans="1:24" x14ac:dyDescent="0.3">
      <c r="A6" s="30">
        <v>11</v>
      </c>
      <c r="B6" s="26" t="s">
        <v>468</v>
      </c>
      <c r="C6" s="26">
        <v>108225063</v>
      </c>
      <c r="D6" s="32">
        <v>0</v>
      </c>
      <c r="E6" s="33" t="s">
        <v>968</v>
      </c>
      <c r="F6" s="26">
        <v>108225063</v>
      </c>
      <c r="G6" s="20"/>
      <c r="H6" s="21"/>
      <c r="I6" s="21"/>
      <c r="J6" s="21"/>
      <c r="M6" s="8">
        <v>11</v>
      </c>
      <c r="N6" s="26" t="s">
        <v>468</v>
      </c>
      <c r="O6" s="26">
        <v>108056058.16</v>
      </c>
      <c r="P6" s="32">
        <v>0</v>
      </c>
      <c r="Q6" s="33" t="s">
        <v>1014</v>
      </c>
      <c r="R6" s="26">
        <v>108056058.16</v>
      </c>
      <c r="S6" s="71"/>
      <c r="T6" s="9"/>
      <c r="U6" s="9" t="s">
        <v>1015</v>
      </c>
      <c r="V6" s="9"/>
    </row>
    <row r="7" spans="1:24" x14ac:dyDescent="0.3">
      <c r="A7" s="30">
        <v>12</v>
      </c>
      <c r="B7" s="26" t="s">
        <v>469</v>
      </c>
      <c r="C7" s="26">
        <v>3411067</v>
      </c>
      <c r="D7" s="32">
        <v>0</v>
      </c>
      <c r="E7" s="33" t="s">
        <v>968</v>
      </c>
      <c r="F7" s="26">
        <v>3411067</v>
      </c>
      <c r="G7" s="20"/>
      <c r="H7" s="21"/>
      <c r="I7" s="34" t="s">
        <v>985</v>
      </c>
      <c r="J7" s="35" t="s">
        <v>986</v>
      </c>
      <c r="M7" s="8">
        <v>12</v>
      </c>
      <c r="N7" s="26" t="s">
        <v>469</v>
      </c>
      <c r="O7" s="26">
        <v>3436151</v>
      </c>
      <c r="P7" s="32">
        <v>0</v>
      </c>
      <c r="Q7" s="33" t="s">
        <v>1014</v>
      </c>
      <c r="R7" s="26">
        <v>3436151</v>
      </c>
      <c r="S7" s="71"/>
      <c r="T7" s="9"/>
      <c r="U7" s="9"/>
      <c r="V7" s="9"/>
    </row>
    <row r="8" spans="1:24" x14ac:dyDescent="0.3">
      <c r="A8" s="30">
        <v>13</v>
      </c>
      <c r="B8" s="26" t="s">
        <v>470</v>
      </c>
      <c r="C8" s="26">
        <v>861044</v>
      </c>
      <c r="D8" s="36"/>
      <c r="E8" s="36"/>
      <c r="F8" s="26">
        <v>861044</v>
      </c>
      <c r="G8" s="20"/>
      <c r="H8" s="21"/>
      <c r="I8" s="34" t="s">
        <v>987</v>
      </c>
      <c r="J8" s="35">
        <v>0</v>
      </c>
      <c r="M8" s="8">
        <v>13</v>
      </c>
      <c r="N8" s="26" t="s">
        <v>470</v>
      </c>
      <c r="O8" s="26">
        <v>1300670</v>
      </c>
      <c r="P8" s="36">
        <v>0</v>
      </c>
      <c r="Q8" s="36"/>
      <c r="R8" s="26">
        <v>1300670</v>
      </c>
      <c r="S8" s="71"/>
      <c r="T8" s="9"/>
      <c r="U8" s="72" t="s">
        <v>985</v>
      </c>
      <c r="V8" s="73" t="s">
        <v>986</v>
      </c>
    </row>
    <row r="9" spans="1:24" x14ac:dyDescent="0.3">
      <c r="A9" s="30">
        <v>14</v>
      </c>
      <c r="B9" s="26" t="s">
        <v>471</v>
      </c>
      <c r="C9" s="26">
        <v>2635131</v>
      </c>
      <c r="D9" s="26">
        <v>0</v>
      </c>
      <c r="E9" s="36"/>
      <c r="F9" s="26">
        <v>2635131</v>
      </c>
      <c r="G9" s="20"/>
      <c r="H9" s="21"/>
      <c r="I9" s="21"/>
      <c r="J9" s="21"/>
      <c r="M9" s="8">
        <v>14</v>
      </c>
      <c r="N9" s="26" t="s">
        <v>471</v>
      </c>
      <c r="O9" s="26">
        <v>2514771</v>
      </c>
      <c r="P9" s="26">
        <v>0</v>
      </c>
      <c r="Q9" s="36"/>
      <c r="R9" s="26">
        <v>2514771</v>
      </c>
      <c r="S9" s="71"/>
      <c r="T9" s="9"/>
      <c r="U9" s="72" t="s">
        <v>987</v>
      </c>
      <c r="V9" s="73">
        <v>0</v>
      </c>
    </row>
    <row r="10" spans="1:24" x14ac:dyDescent="0.3">
      <c r="A10" s="30">
        <v>15</v>
      </c>
      <c r="B10" s="26" t="s">
        <v>472</v>
      </c>
      <c r="C10" s="26">
        <v>2691429</v>
      </c>
      <c r="D10" s="37">
        <v>16740099</v>
      </c>
      <c r="E10" s="33" t="s">
        <v>968</v>
      </c>
      <c r="F10" s="26">
        <v>19431528</v>
      </c>
      <c r="G10" s="20"/>
      <c r="H10" s="21"/>
      <c r="I10" s="21"/>
      <c r="J10" s="21"/>
      <c r="M10" s="8">
        <v>15</v>
      </c>
      <c r="N10" s="26" t="s">
        <v>472</v>
      </c>
      <c r="O10" s="26">
        <v>2166621</v>
      </c>
      <c r="P10" s="37">
        <v>13957076</v>
      </c>
      <c r="Q10" s="33" t="s">
        <v>1014</v>
      </c>
      <c r="R10" s="26">
        <v>16123697</v>
      </c>
      <c r="S10" s="71"/>
      <c r="T10" s="9"/>
      <c r="U10" s="9"/>
      <c r="V10" s="9"/>
    </row>
    <row r="11" spans="1:24" x14ac:dyDescent="0.3">
      <c r="A11" s="30">
        <v>16</v>
      </c>
      <c r="B11" s="26" t="s">
        <v>473</v>
      </c>
      <c r="C11" s="26">
        <v>626721</v>
      </c>
      <c r="D11" s="26">
        <v>9089682</v>
      </c>
      <c r="E11" s="36"/>
      <c r="F11" s="38">
        <v>9716403</v>
      </c>
      <c r="G11" s="21"/>
      <c r="H11" s="21"/>
      <c r="I11" s="34" t="s">
        <v>621</v>
      </c>
      <c r="J11" s="39">
        <v>153365</v>
      </c>
      <c r="M11" s="8">
        <v>16</v>
      </c>
      <c r="N11" s="26" t="s">
        <v>473</v>
      </c>
      <c r="O11" s="26">
        <v>497855</v>
      </c>
      <c r="P11" s="26">
        <v>9150267</v>
      </c>
      <c r="Q11" s="36"/>
      <c r="R11" s="38">
        <v>9648122</v>
      </c>
      <c r="S11" s="71"/>
      <c r="T11" s="9"/>
      <c r="U11" s="9"/>
      <c r="V11" s="9"/>
    </row>
    <row r="12" spans="1:24" x14ac:dyDescent="0.3">
      <c r="A12" s="30">
        <v>17</v>
      </c>
      <c r="B12" s="26" t="s">
        <v>474</v>
      </c>
      <c r="C12" s="26">
        <v>0</v>
      </c>
      <c r="D12" s="26">
        <v>20501936</v>
      </c>
      <c r="E12" s="36"/>
      <c r="F12" s="38">
        <v>20501936</v>
      </c>
      <c r="G12" s="21"/>
      <c r="H12" s="21"/>
      <c r="I12" s="34" t="s">
        <v>622</v>
      </c>
      <c r="J12" s="35">
        <v>189363403</v>
      </c>
      <c r="M12" s="8">
        <v>17</v>
      </c>
      <c r="N12" s="26" t="s">
        <v>474</v>
      </c>
      <c r="O12" s="45">
        <v>0</v>
      </c>
      <c r="P12" s="26">
        <v>21224080</v>
      </c>
      <c r="Q12" s="36"/>
      <c r="R12" s="38">
        <v>21224080</v>
      </c>
      <c r="S12" s="9"/>
      <c r="T12" s="9"/>
      <c r="U12" s="72" t="s">
        <v>621</v>
      </c>
      <c r="V12" s="41">
        <v>109282</v>
      </c>
    </row>
    <row r="13" spans="1:24" x14ac:dyDescent="0.3">
      <c r="A13" s="30">
        <v>18</v>
      </c>
      <c r="B13" s="26" t="s">
        <v>475</v>
      </c>
      <c r="C13" s="40">
        <v>0</v>
      </c>
      <c r="D13" s="26">
        <v>1786369</v>
      </c>
      <c r="E13" s="36"/>
      <c r="F13" s="38">
        <v>1786369</v>
      </c>
      <c r="G13" s="21"/>
      <c r="H13" s="21"/>
      <c r="I13" s="34" t="s">
        <v>623</v>
      </c>
      <c r="J13" s="35">
        <v>180567413.10491896</v>
      </c>
      <c r="M13" s="8">
        <v>18</v>
      </c>
      <c r="N13" s="26" t="s">
        <v>475</v>
      </c>
      <c r="O13" s="40">
        <v>0</v>
      </c>
      <c r="P13" s="26">
        <v>3597684</v>
      </c>
      <c r="Q13" s="36"/>
      <c r="R13" s="38">
        <v>3597684</v>
      </c>
      <c r="S13" s="9"/>
      <c r="T13" s="9"/>
      <c r="U13" s="72" t="s">
        <v>1003</v>
      </c>
      <c r="V13" s="73">
        <v>200745846.89508104</v>
      </c>
    </row>
    <row r="14" spans="1:24" x14ac:dyDescent="0.3">
      <c r="A14" s="30">
        <v>19</v>
      </c>
      <c r="B14" s="26" t="s">
        <v>476</v>
      </c>
      <c r="C14" s="26">
        <v>20000</v>
      </c>
      <c r="D14" s="37">
        <v>0</v>
      </c>
      <c r="E14" s="33" t="s">
        <v>968</v>
      </c>
      <c r="F14" s="38">
        <v>20000</v>
      </c>
      <c r="G14" s="21"/>
      <c r="H14" s="21"/>
      <c r="I14" s="34" t="s">
        <v>624</v>
      </c>
      <c r="J14" s="41">
        <v>-8795989.8950810432</v>
      </c>
      <c r="M14" s="8">
        <v>19</v>
      </c>
      <c r="N14" s="26" t="s">
        <v>476</v>
      </c>
      <c r="O14" s="26">
        <v>25597</v>
      </c>
      <c r="P14" s="37">
        <v>0</v>
      </c>
      <c r="Q14" s="33" t="s">
        <v>1014</v>
      </c>
      <c r="R14" s="38">
        <v>25597</v>
      </c>
      <c r="S14" s="9"/>
      <c r="T14" s="9"/>
      <c r="U14" s="72" t="s">
        <v>1004</v>
      </c>
      <c r="V14" s="73">
        <v>193357722.27609438</v>
      </c>
    </row>
    <row r="15" spans="1:24" x14ac:dyDescent="0.3">
      <c r="A15" s="30">
        <v>20</v>
      </c>
      <c r="B15" s="26" t="s">
        <v>477</v>
      </c>
      <c r="C15" s="26">
        <v>0</v>
      </c>
      <c r="D15" s="26">
        <v>0</v>
      </c>
      <c r="E15" s="36"/>
      <c r="F15" s="38">
        <v>0</v>
      </c>
      <c r="G15" s="21"/>
      <c r="H15" s="21"/>
      <c r="I15" s="34" t="s">
        <v>625</v>
      </c>
      <c r="J15" s="41">
        <v>-8949354.8950810432</v>
      </c>
      <c r="M15" s="8">
        <v>20</v>
      </c>
      <c r="N15" s="26" t="s">
        <v>477</v>
      </c>
      <c r="O15" s="26">
        <v>0</v>
      </c>
      <c r="P15" s="26">
        <v>0</v>
      </c>
      <c r="Q15" s="36"/>
      <c r="R15" s="38">
        <v>0</v>
      </c>
      <c r="S15" s="9"/>
      <c r="T15" s="9"/>
      <c r="U15" s="72" t="s">
        <v>624</v>
      </c>
      <c r="V15" s="41">
        <v>-7388124.6189866662</v>
      </c>
    </row>
    <row r="16" spans="1:24" x14ac:dyDescent="0.3">
      <c r="A16" s="30">
        <v>21</v>
      </c>
      <c r="B16" s="26" t="s">
        <v>478</v>
      </c>
      <c r="C16" s="26">
        <v>7929124</v>
      </c>
      <c r="D16" s="26">
        <v>14458042</v>
      </c>
      <c r="E16" s="33"/>
      <c r="F16" s="42">
        <v>22387166</v>
      </c>
      <c r="G16" s="21"/>
      <c r="H16" s="21"/>
      <c r="I16" s="34" t="s">
        <v>626</v>
      </c>
      <c r="J16" s="41">
        <v>153365</v>
      </c>
      <c r="M16" s="8">
        <v>21</v>
      </c>
      <c r="N16" s="26" t="s">
        <v>478</v>
      </c>
      <c r="O16" s="26">
        <v>9139599</v>
      </c>
      <c r="P16" s="26">
        <v>16907227</v>
      </c>
      <c r="Q16" s="33"/>
      <c r="R16" s="42">
        <v>26046826</v>
      </c>
      <c r="S16" s="9"/>
      <c r="T16" s="9"/>
      <c r="U16" s="72" t="s">
        <v>625</v>
      </c>
      <c r="V16" s="41">
        <v>-7497406.6189866662</v>
      </c>
    </row>
    <row r="17" spans="1:22" x14ac:dyDescent="0.3">
      <c r="A17" s="30">
        <v>22</v>
      </c>
      <c r="B17" s="26" t="s">
        <v>479</v>
      </c>
      <c r="C17" s="26">
        <v>131424152</v>
      </c>
      <c r="D17" s="26">
        <v>64323411</v>
      </c>
      <c r="E17" s="36"/>
      <c r="F17" s="26">
        <v>195747563</v>
      </c>
      <c r="G17" s="20"/>
      <c r="H17" s="21"/>
      <c r="I17" s="43" t="s">
        <v>627</v>
      </c>
      <c r="J17" s="35">
        <v>0</v>
      </c>
      <c r="M17" s="8">
        <v>22</v>
      </c>
      <c r="N17" s="26" t="s">
        <v>479</v>
      </c>
      <c r="O17" s="26">
        <v>131896418.16</v>
      </c>
      <c r="P17" s="26">
        <v>66628920</v>
      </c>
      <c r="Q17" s="36"/>
      <c r="R17" s="76">
        <v>198157534.16</v>
      </c>
      <c r="S17" s="9"/>
      <c r="T17" s="9"/>
      <c r="U17" s="72" t="s">
        <v>626</v>
      </c>
      <c r="V17" s="41">
        <v>109282</v>
      </c>
    </row>
    <row r="18" spans="1:22" x14ac:dyDescent="0.3">
      <c r="A18" s="30">
        <v>23</v>
      </c>
      <c r="B18" s="40" t="s">
        <v>480</v>
      </c>
      <c r="C18" s="44"/>
      <c r="D18" s="44"/>
      <c r="E18" s="44"/>
      <c r="F18" s="44"/>
      <c r="G18" s="21"/>
      <c r="H18" s="21"/>
      <c r="I18" s="21"/>
      <c r="J18" s="21"/>
      <c r="M18" s="8">
        <v>23</v>
      </c>
      <c r="N18" s="40" t="s">
        <v>480</v>
      </c>
      <c r="O18" s="44"/>
      <c r="P18" s="44"/>
      <c r="Q18" s="44"/>
      <c r="R18" s="44"/>
      <c r="S18" s="71"/>
      <c r="T18" s="9"/>
      <c r="U18" s="74" t="s">
        <v>1005</v>
      </c>
      <c r="V18" s="73">
        <v>0</v>
      </c>
    </row>
    <row r="19" spans="1:22" x14ac:dyDescent="0.3">
      <c r="A19" s="30">
        <v>24</v>
      </c>
      <c r="B19" s="26" t="s">
        <v>481</v>
      </c>
      <c r="C19" s="26">
        <v>153365</v>
      </c>
      <c r="D19" s="26">
        <v>0</v>
      </c>
      <c r="E19" s="33" t="s">
        <v>968</v>
      </c>
      <c r="F19" s="26">
        <v>153365</v>
      </c>
      <c r="G19" s="20"/>
      <c r="H19" s="21"/>
      <c r="I19" s="21"/>
      <c r="J19" s="21"/>
      <c r="M19" s="8">
        <v>24</v>
      </c>
      <c r="N19" s="26" t="s">
        <v>998</v>
      </c>
      <c r="O19" s="26">
        <v>109282</v>
      </c>
      <c r="P19" s="44">
        <v>0</v>
      </c>
      <c r="Q19" s="33" t="s">
        <v>1014</v>
      </c>
      <c r="R19" s="76">
        <v>109282</v>
      </c>
      <c r="S19" s="9"/>
      <c r="T19" s="9"/>
      <c r="U19" s="9"/>
      <c r="V19" s="9"/>
    </row>
    <row r="20" spans="1:22" x14ac:dyDescent="0.3">
      <c r="A20" s="30">
        <v>25</v>
      </c>
      <c r="B20" s="26" t="s">
        <v>482</v>
      </c>
      <c r="C20" s="36"/>
      <c r="D20" s="37">
        <v>2236477.3339056224</v>
      </c>
      <c r="E20" s="44"/>
      <c r="F20" s="42">
        <v>2236477.3339056224</v>
      </c>
      <c r="G20" s="20"/>
      <c r="H20" s="21"/>
      <c r="I20" s="21"/>
      <c r="J20" s="21"/>
      <c r="M20" s="8">
        <v>25</v>
      </c>
      <c r="N20" s="26" t="s">
        <v>999</v>
      </c>
      <c r="O20" s="36">
        <v>0</v>
      </c>
      <c r="P20" s="37">
        <v>2189878.2962192898</v>
      </c>
      <c r="Q20" s="44"/>
      <c r="R20" s="42">
        <v>2189878.2962192898</v>
      </c>
      <c r="S20" s="71"/>
      <c r="T20" s="9"/>
      <c r="U20" s="9"/>
      <c r="V20" s="9"/>
    </row>
    <row r="21" spans="1:22" x14ac:dyDescent="0.3">
      <c r="A21" s="30">
        <v>26</v>
      </c>
      <c r="B21" s="26" t="s">
        <v>483</v>
      </c>
      <c r="C21" s="26">
        <v>153365</v>
      </c>
      <c r="D21" s="26">
        <v>2236477.3339056224</v>
      </c>
      <c r="E21" s="44"/>
      <c r="F21" s="26">
        <v>2389842.3339056224</v>
      </c>
      <c r="G21" s="20"/>
      <c r="H21" s="21"/>
      <c r="I21" s="21"/>
      <c r="J21" s="21"/>
      <c r="M21" s="8">
        <v>26</v>
      </c>
      <c r="N21" s="26" t="s">
        <v>483</v>
      </c>
      <c r="O21" s="26">
        <v>109282</v>
      </c>
      <c r="P21" s="26">
        <v>2189878.2962192898</v>
      </c>
      <c r="Q21" s="44"/>
      <c r="R21" s="26">
        <v>2299160.2962192898</v>
      </c>
      <c r="S21" s="71"/>
      <c r="T21" s="9"/>
      <c r="U21" s="9"/>
      <c r="V21" s="9"/>
    </row>
    <row r="22" spans="1:22" x14ac:dyDescent="0.3">
      <c r="A22" s="30">
        <v>27</v>
      </c>
      <c r="B22" s="42"/>
      <c r="C22" s="36"/>
      <c r="D22" s="44"/>
      <c r="E22" s="44"/>
      <c r="F22" s="44"/>
      <c r="G22" s="20"/>
      <c r="H22" s="21"/>
      <c r="I22" s="21"/>
      <c r="J22" s="21"/>
      <c r="K22" s="3" t="s">
        <v>988</v>
      </c>
      <c r="M22" s="8">
        <v>27</v>
      </c>
      <c r="N22" s="42"/>
      <c r="O22" s="36"/>
      <c r="P22" s="44"/>
      <c r="Q22" s="44"/>
      <c r="R22" s="44"/>
      <c r="S22" s="71"/>
      <c r="V22" s="9"/>
    </row>
    <row r="23" spans="1:22" x14ac:dyDescent="0.3">
      <c r="A23" s="30">
        <v>28</v>
      </c>
      <c r="B23" s="26" t="s">
        <v>484</v>
      </c>
      <c r="C23" s="45">
        <v>131270787</v>
      </c>
      <c r="D23" s="45">
        <v>62086933.666094378</v>
      </c>
      <c r="E23" s="36"/>
      <c r="F23" s="45">
        <v>193357720.66609436</v>
      </c>
      <c r="G23" s="20"/>
      <c r="H23" s="21"/>
      <c r="I23" s="21"/>
      <c r="J23" s="21"/>
      <c r="K23" s="41">
        <v>193357720.66609436</v>
      </c>
      <c r="M23" s="8">
        <v>28</v>
      </c>
      <c r="N23" s="26" t="s">
        <v>484</v>
      </c>
      <c r="O23" s="45">
        <v>131787136.16</v>
      </c>
      <c r="P23" s="45">
        <v>64439041.703780711</v>
      </c>
      <c r="Q23" s="36"/>
      <c r="R23" s="45">
        <f>R17-R21</f>
        <v>195858373.86378071</v>
      </c>
      <c r="S23" s="71">
        <f>R17-R21</f>
        <v>195858373.86378071</v>
      </c>
      <c r="V23" s="9"/>
    </row>
    <row r="24" spans="1:22" x14ac:dyDescent="0.3">
      <c r="A24" s="30">
        <v>29</v>
      </c>
      <c r="B24" s="40" t="s">
        <v>485</v>
      </c>
      <c r="C24" s="36"/>
      <c r="D24" s="36"/>
      <c r="E24" s="36"/>
      <c r="F24" s="46">
        <v>191949857</v>
      </c>
      <c r="G24" s="20"/>
      <c r="H24" s="21"/>
      <c r="I24" s="21"/>
      <c r="J24" s="21"/>
      <c r="K24" s="35">
        <v>191949857</v>
      </c>
      <c r="M24" s="8">
        <v>29</v>
      </c>
      <c r="N24" s="40" t="s">
        <v>1000</v>
      </c>
      <c r="O24" s="36"/>
      <c r="P24" s="36"/>
      <c r="Q24" s="36"/>
      <c r="R24" s="37">
        <v>197467144</v>
      </c>
      <c r="S24" s="71"/>
      <c r="V24" s="9"/>
    </row>
    <row r="25" spans="1:22" x14ac:dyDescent="0.3">
      <c r="A25" s="30">
        <v>30</v>
      </c>
      <c r="B25" s="40" t="s">
        <v>486</v>
      </c>
      <c r="C25" s="36"/>
      <c r="D25" s="36"/>
      <c r="E25" s="36"/>
      <c r="F25" s="47">
        <f>G25</f>
        <v>2233553</v>
      </c>
      <c r="G25" s="20">
        <v>2233553</v>
      </c>
      <c r="H25" s="21"/>
      <c r="I25" s="21"/>
      <c r="J25" s="21"/>
      <c r="K25" s="35">
        <v>8795989.8950810432</v>
      </c>
      <c r="M25" s="8">
        <v>30</v>
      </c>
      <c r="N25" s="40" t="s">
        <v>1001</v>
      </c>
      <c r="O25" s="36"/>
      <c r="P25" s="36"/>
      <c r="Q25" s="36"/>
      <c r="R25" s="65">
        <f>G25</f>
        <v>2233553</v>
      </c>
      <c r="S25" s="71"/>
      <c r="T25" s="9"/>
      <c r="U25" s="9"/>
      <c r="V25" s="9"/>
    </row>
    <row r="26" spans="1:22" x14ac:dyDescent="0.3">
      <c r="A26" s="30">
        <v>31</v>
      </c>
      <c r="B26" s="40" t="s">
        <v>487</v>
      </c>
      <c r="C26" s="36"/>
      <c r="D26" s="36"/>
      <c r="E26" s="36"/>
      <c r="F26" s="48">
        <f>SUM(F24:F25)</f>
        <v>194183410</v>
      </c>
      <c r="G26" s="82" t="s">
        <v>989</v>
      </c>
      <c r="H26" s="83"/>
      <c r="I26" s="83"/>
      <c r="J26" s="83"/>
      <c r="K26" s="41">
        <v>200745846.89508104</v>
      </c>
      <c r="M26" s="8">
        <v>31</v>
      </c>
      <c r="N26" s="40" t="s">
        <v>1002</v>
      </c>
      <c r="O26" s="36"/>
      <c r="P26" s="36"/>
      <c r="Q26" s="36"/>
      <c r="R26" s="62" t="e">
        <f>R24+R25-#REF!-367804</f>
        <v>#REF!</v>
      </c>
      <c r="S26" s="71" t="s">
        <v>1024</v>
      </c>
      <c r="T26" s="9"/>
      <c r="U26" s="9"/>
      <c r="V26" s="9"/>
    </row>
    <row r="27" spans="1:22" x14ac:dyDescent="0.3">
      <c r="A27" s="30">
        <v>32</v>
      </c>
      <c r="B27" s="40" t="s">
        <v>488</v>
      </c>
      <c r="C27" s="36"/>
      <c r="D27" s="36"/>
      <c r="E27" s="36"/>
      <c r="F27" s="48">
        <f>F26-F23</f>
        <v>825689.33390563726</v>
      </c>
      <c r="G27" s="82"/>
      <c r="H27" s="83"/>
      <c r="I27" s="83"/>
      <c r="J27" s="83"/>
      <c r="K27" s="41">
        <v>7388126.2289866805</v>
      </c>
      <c r="M27" s="8">
        <v>32</v>
      </c>
      <c r="N27" s="40" t="s">
        <v>488</v>
      </c>
      <c r="O27" s="36"/>
      <c r="P27" s="36"/>
      <c r="Q27" s="36"/>
      <c r="R27" s="62" t="e">
        <f>R26-R23</f>
        <v>#REF!</v>
      </c>
      <c r="S27" s="71"/>
      <c r="T27" s="9"/>
      <c r="U27" s="9"/>
      <c r="V27" s="9"/>
    </row>
    <row r="28" spans="1:22" x14ac:dyDescent="0.3">
      <c r="A28" s="30">
        <v>33</v>
      </c>
      <c r="B28" s="26" t="s">
        <v>489</v>
      </c>
      <c r="C28" s="36"/>
      <c r="D28" s="36"/>
      <c r="E28" s="36"/>
      <c r="F28" s="49">
        <f>F27/F24</f>
        <v>4.301588689933941E-3</v>
      </c>
      <c r="G28" s="82"/>
      <c r="H28" s="83"/>
      <c r="I28" s="83"/>
      <c r="J28" s="83"/>
      <c r="K28" s="50">
        <v>3.85E-2</v>
      </c>
      <c r="M28" s="8">
        <v>33</v>
      </c>
      <c r="N28" s="26" t="s">
        <v>489</v>
      </c>
      <c r="O28" s="36"/>
      <c r="P28" s="36"/>
      <c r="Q28" s="36"/>
      <c r="R28" s="66" t="e">
        <f>R27/R24</f>
        <v>#REF!</v>
      </c>
      <c r="S28" s="71"/>
      <c r="T28" s="9"/>
      <c r="U28" s="9"/>
      <c r="V28" s="9"/>
    </row>
    <row r="29" spans="1:22" x14ac:dyDescent="0.3">
      <c r="A29" s="30">
        <v>34</v>
      </c>
      <c r="B29" s="40" t="s">
        <v>490</v>
      </c>
      <c r="C29" s="36"/>
      <c r="D29" s="36"/>
      <c r="E29" s="36"/>
      <c r="F29" s="61">
        <v>0</v>
      </c>
      <c r="H29" s="21"/>
      <c r="I29" s="21"/>
      <c r="J29" s="21"/>
      <c r="K29" s="41">
        <v>7388126.2289866805</v>
      </c>
      <c r="M29" s="8">
        <v>34</v>
      </c>
      <c r="N29" s="40" t="s">
        <v>1016</v>
      </c>
      <c r="O29" s="36"/>
      <c r="P29" s="36"/>
      <c r="Q29" s="36"/>
      <c r="R29" s="67">
        <v>0</v>
      </c>
      <c r="S29" s="71"/>
      <c r="T29" s="9"/>
      <c r="U29" s="9"/>
      <c r="V29" s="9"/>
    </row>
    <row r="30" spans="1:22" x14ac:dyDescent="0.3">
      <c r="A30" s="30">
        <v>35</v>
      </c>
      <c r="B30" s="42" t="s">
        <v>491</v>
      </c>
      <c r="C30" s="44"/>
      <c r="D30" s="44"/>
      <c r="E30" s="44"/>
      <c r="F30" s="60">
        <f>F27</f>
        <v>825689.33390563726</v>
      </c>
      <c r="G30" s="20" t="s">
        <v>994</v>
      </c>
      <c r="H30" s="21"/>
      <c r="I30" s="21"/>
      <c r="J30" s="21"/>
      <c r="K30" s="41">
        <v>0</v>
      </c>
      <c r="M30" s="8">
        <v>35</v>
      </c>
      <c r="N30" s="42" t="s">
        <v>491</v>
      </c>
      <c r="O30" s="44"/>
      <c r="P30" s="44"/>
      <c r="Q30" s="44"/>
      <c r="R30" s="68" t="e">
        <f>R27</f>
        <v>#REF!</v>
      </c>
      <c r="S30" s="71"/>
      <c r="T30" s="9">
        <v>2893370</v>
      </c>
      <c r="U30" s="9" t="s">
        <v>1020</v>
      </c>
      <c r="V30" s="9"/>
    </row>
    <row r="31" spans="1:22" x14ac:dyDescent="0.3">
      <c r="A31" s="30"/>
      <c r="B31" s="52"/>
      <c r="C31" s="52"/>
      <c r="D31" s="52"/>
      <c r="E31" s="52"/>
      <c r="F31" s="52"/>
      <c r="G31" s="21"/>
      <c r="H31" s="21"/>
      <c r="I31" s="21"/>
      <c r="J31" s="21"/>
      <c r="N31" s="75"/>
      <c r="O31" s="75"/>
      <c r="P31" s="75"/>
      <c r="Q31" s="75"/>
      <c r="R31" s="75"/>
      <c r="S31" s="9"/>
      <c r="T31" s="9">
        <v>193332808</v>
      </c>
      <c r="U31" s="9" t="s">
        <v>1023</v>
      </c>
      <c r="V31" s="9"/>
    </row>
    <row r="32" spans="1:22" x14ac:dyDescent="0.3">
      <c r="A32" s="30"/>
      <c r="B32" s="21"/>
      <c r="C32" s="21"/>
      <c r="D32" s="21"/>
      <c r="E32" s="21"/>
      <c r="F32" s="21"/>
      <c r="G32" s="21"/>
      <c r="H32" s="21"/>
      <c r="I32" s="21"/>
      <c r="J32" s="21"/>
      <c r="M32" s="8"/>
      <c r="N32" s="9"/>
      <c r="O32" s="9"/>
      <c r="P32" s="9"/>
      <c r="Q32" s="9"/>
      <c r="R32" s="9"/>
      <c r="S32" s="9"/>
      <c r="T32" s="9">
        <f>R23-T31</f>
        <v>2525565.8637807071</v>
      </c>
      <c r="U32" s="9" t="s">
        <v>1021</v>
      </c>
      <c r="V32" s="9"/>
    </row>
    <row r="33" spans="1:22" x14ac:dyDescent="0.3">
      <c r="A33" s="30"/>
      <c r="B33" s="23" t="s">
        <v>969</v>
      </c>
      <c r="C33" s="24" t="s">
        <v>964</v>
      </c>
      <c r="D33" s="25" t="s">
        <v>965</v>
      </c>
      <c r="E33" s="38"/>
      <c r="F33" s="20"/>
      <c r="G33" s="21"/>
      <c r="H33" s="21"/>
      <c r="I33" s="21"/>
      <c r="J33" s="21"/>
      <c r="M33" s="8"/>
      <c r="N33" s="23" t="s">
        <v>1017</v>
      </c>
      <c r="O33" s="24" t="s">
        <v>964</v>
      </c>
      <c r="P33" s="25" t="s">
        <v>965</v>
      </c>
      <c r="Q33" s="38"/>
      <c r="R33" s="71"/>
      <c r="S33" s="9"/>
      <c r="T33" s="9">
        <f>T30-T32</f>
        <v>367804.13621929288</v>
      </c>
      <c r="U33" s="9" t="s">
        <v>1025</v>
      </c>
      <c r="V33" s="9"/>
    </row>
    <row r="34" spans="1:22" x14ac:dyDescent="0.3">
      <c r="A34" s="30"/>
      <c r="B34" s="27" t="s">
        <v>982</v>
      </c>
      <c r="C34" s="53" t="s">
        <v>966</v>
      </c>
      <c r="D34" s="29" t="s">
        <v>967</v>
      </c>
      <c r="E34" s="29" t="s">
        <v>492</v>
      </c>
      <c r="F34" s="20"/>
      <c r="G34" s="21"/>
      <c r="H34" s="21"/>
      <c r="I34" s="21"/>
      <c r="J34" s="21"/>
      <c r="M34" s="8"/>
      <c r="N34" s="27" t="s">
        <v>1012</v>
      </c>
      <c r="O34" s="53" t="s">
        <v>966</v>
      </c>
      <c r="P34" s="29" t="s">
        <v>967</v>
      </c>
      <c r="Q34" s="29" t="s">
        <v>492</v>
      </c>
      <c r="R34" s="71"/>
      <c r="S34" s="9"/>
      <c r="T34" s="9"/>
      <c r="U34" s="9"/>
      <c r="V34" s="9"/>
    </row>
    <row r="35" spans="1:22" x14ac:dyDescent="0.3">
      <c r="A35" s="30">
        <v>40</v>
      </c>
      <c r="B35" s="26" t="s">
        <v>630</v>
      </c>
      <c r="C35" s="26">
        <v>4671393</v>
      </c>
      <c r="D35" s="26">
        <v>1947529</v>
      </c>
      <c r="E35" s="26">
        <v>6618922</v>
      </c>
      <c r="F35" s="20"/>
      <c r="G35" s="21"/>
      <c r="H35" s="21"/>
      <c r="I35" s="21"/>
      <c r="J35" s="21"/>
      <c r="M35" s="8">
        <v>40</v>
      </c>
      <c r="N35" s="26" t="s">
        <v>630</v>
      </c>
      <c r="O35" s="26">
        <v>4813754</v>
      </c>
      <c r="P35" s="26">
        <v>1990053</v>
      </c>
      <c r="Q35" s="26">
        <v>6803807</v>
      </c>
      <c r="R35" s="71"/>
      <c r="S35" s="9"/>
      <c r="T35" s="9"/>
      <c r="U35" s="9"/>
      <c r="V35" s="9"/>
    </row>
    <row r="36" spans="1:22" x14ac:dyDescent="0.3">
      <c r="A36" s="30">
        <v>41</v>
      </c>
      <c r="B36" s="26" t="s">
        <v>631</v>
      </c>
      <c r="C36" s="26">
        <v>109293495</v>
      </c>
      <c r="D36" s="26">
        <v>0</v>
      </c>
      <c r="E36" s="26">
        <v>109293495</v>
      </c>
      <c r="F36" s="20"/>
      <c r="G36" s="21"/>
      <c r="H36" s="21"/>
      <c r="I36" s="21"/>
      <c r="J36" s="21"/>
      <c r="M36" s="8">
        <v>41</v>
      </c>
      <c r="N36" s="26" t="s">
        <v>631</v>
      </c>
      <c r="O36" s="26">
        <v>118894897</v>
      </c>
      <c r="P36" s="26">
        <v>0</v>
      </c>
      <c r="Q36" s="26">
        <v>118894897</v>
      </c>
      <c r="R36" s="71"/>
      <c r="S36" s="9"/>
      <c r="T36" s="9"/>
      <c r="U36" s="9"/>
      <c r="V36" s="9"/>
    </row>
    <row r="37" spans="1:22" x14ac:dyDescent="0.3">
      <c r="A37" s="30">
        <v>42</v>
      </c>
      <c r="B37" s="26" t="s">
        <v>632</v>
      </c>
      <c r="C37" s="26">
        <v>3459443</v>
      </c>
      <c r="D37" s="26">
        <v>0</v>
      </c>
      <c r="E37" s="26">
        <v>3459443</v>
      </c>
      <c r="F37" s="20"/>
      <c r="G37" s="21"/>
      <c r="H37" s="21"/>
      <c r="I37" s="21"/>
      <c r="J37" s="21"/>
      <c r="M37" s="8">
        <v>42</v>
      </c>
      <c r="N37" s="26" t="s">
        <v>632</v>
      </c>
      <c r="O37" s="26">
        <v>3446969</v>
      </c>
      <c r="P37" s="26">
        <v>0</v>
      </c>
      <c r="Q37" s="26">
        <v>3446969</v>
      </c>
      <c r="R37" s="71"/>
      <c r="S37" s="9"/>
      <c r="T37" s="9"/>
      <c r="U37" s="9"/>
      <c r="V37" s="9"/>
    </row>
    <row r="38" spans="1:22" x14ac:dyDescent="0.3">
      <c r="A38" s="30">
        <v>43</v>
      </c>
      <c r="B38" s="26" t="s">
        <v>633</v>
      </c>
      <c r="C38" s="26">
        <v>1159763</v>
      </c>
      <c r="D38" s="36"/>
      <c r="E38" s="26">
        <v>1159763</v>
      </c>
      <c r="F38" s="20"/>
      <c r="G38" s="21"/>
      <c r="H38" s="21"/>
      <c r="I38" s="21"/>
      <c r="J38" s="21"/>
      <c r="M38" s="8">
        <v>43</v>
      </c>
      <c r="N38" s="26" t="s">
        <v>633</v>
      </c>
      <c r="O38" s="26">
        <v>1013635</v>
      </c>
      <c r="P38" s="36"/>
      <c r="Q38" s="26">
        <v>1013635</v>
      </c>
      <c r="R38" s="71"/>
      <c r="S38" s="9"/>
      <c r="T38" s="9"/>
      <c r="U38" s="9"/>
      <c r="V38" s="9"/>
    </row>
    <row r="39" spans="1:22" x14ac:dyDescent="0.3">
      <c r="A39" s="30">
        <v>44</v>
      </c>
      <c r="B39" s="26" t="s">
        <v>634</v>
      </c>
      <c r="C39" s="26">
        <v>3074003</v>
      </c>
      <c r="D39" s="26">
        <v>0</v>
      </c>
      <c r="E39" s="26">
        <v>3074003</v>
      </c>
      <c r="F39" s="20"/>
      <c r="G39" s="21"/>
      <c r="H39" s="21"/>
      <c r="I39" s="21"/>
      <c r="J39" s="21"/>
      <c r="M39" s="8">
        <v>44</v>
      </c>
      <c r="N39" s="26" t="s">
        <v>634</v>
      </c>
      <c r="O39" s="26">
        <v>3228805</v>
      </c>
      <c r="P39" s="26">
        <v>0</v>
      </c>
      <c r="Q39" s="26">
        <v>3228805</v>
      </c>
      <c r="R39" s="71"/>
      <c r="S39" s="9"/>
      <c r="T39" s="9"/>
      <c r="U39" s="9"/>
      <c r="V39" s="9"/>
    </row>
    <row r="40" spans="1:22" x14ac:dyDescent="0.3">
      <c r="A40" s="30">
        <v>45</v>
      </c>
      <c r="B40" s="26" t="s">
        <v>635</v>
      </c>
      <c r="C40" s="26">
        <v>720453</v>
      </c>
      <c r="D40" s="26">
        <v>13957076</v>
      </c>
      <c r="E40" s="26">
        <v>14677529</v>
      </c>
      <c r="F40" s="20"/>
      <c r="G40" s="21"/>
      <c r="H40" s="21"/>
      <c r="I40" s="21"/>
      <c r="J40" s="21"/>
      <c r="M40" s="8">
        <v>45</v>
      </c>
      <c r="N40" s="26" t="s">
        <v>635</v>
      </c>
      <c r="O40" s="26">
        <v>748945</v>
      </c>
      <c r="P40" s="26">
        <v>15078228</v>
      </c>
      <c r="Q40" s="26">
        <v>15827173</v>
      </c>
      <c r="R40" s="71"/>
      <c r="S40" s="9"/>
      <c r="T40" s="9"/>
      <c r="U40" s="9"/>
      <c r="V40" s="9"/>
    </row>
    <row r="41" spans="1:22" x14ac:dyDescent="0.3">
      <c r="A41" s="30">
        <v>46</v>
      </c>
      <c r="B41" s="26" t="s">
        <v>636</v>
      </c>
      <c r="C41" s="26">
        <v>0</v>
      </c>
      <c r="D41" s="26">
        <v>9362373</v>
      </c>
      <c r="E41" s="26">
        <v>9362373</v>
      </c>
      <c r="F41" s="20"/>
      <c r="G41" s="21"/>
      <c r="H41" s="21"/>
      <c r="I41" s="21"/>
      <c r="J41" s="21"/>
      <c r="M41" s="8">
        <v>46</v>
      </c>
      <c r="N41" s="26" t="s">
        <v>636</v>
      </c>
      <c r="O41" s="26">
        <v>158042</v>
      </c>
      <c r="P41" s="26">
        <v>9201360</v>
      </c>
      <c r="Q41" s="26">
        <v>9359402</v>
      </c>
      <c r="R41" s="71"/>
      <c r="S41" s="9"/>
      <c r="T41" s="9"/>
      <c r="U41" s="9"/>
      <c r="V41" s="9"/>
    </row>
    <row r="42" spans="1:22" x14ac:dyDescent="0.3">
      <c r="A42" s="30">
        <v>47</v>
      </c>
      <c r="B42" s="26" t="s">
        <v>637</v>
      </c>
      <c r="C42" s="26">
        <v>600000</v>
      </c>
      <c r="D42" s="26">
        <v>21116835</v>
      </c>
      <c r="E42" s="26">
        <v>21716835</v>
      </c>
      <c r="F42" s="20"/>
      <c r="G42" s="21"/>
      <c r="H42" s="21"/>
      <c r="I42" s="21"/>
      <c r="J42" s="21"/>
      <c r="M42" s="8">
        <v>47</v>
      </c>
      <c r="N42" s="26" t="s">
        <v>637</v>
      </c>
      <c r="O42" s="26">
        <v>600000</v>
      </c>
      <c r="P42" s="26">
        <v>21419711</v>
      </c>
      <c r="Q42" s="26">
        <v>22019711</v>
      </c>
      <c r="R42" s="71"/>
      <c r="S42" s="9"/>
      <c r="T42" s="9"/>
      <c r="U42" s="9"/>
      <c r="V42" s="9"/>
    </row>
    <row r="43" spans="1:22" x14ac:dyDescent="0.3">
      <c r="A43" s="30">
        <v>48</v>
      </c>
      <c r="B43" s="26" t="s">
        <v>638</v>
      </c>
      <c r="C43" s="26">
        <v>0</v>
      </c>
      <c r="D43" s="26">
        <v>3679921</v>
      </c>
      <c r="E43" s="26">
        <v>3679921</v>
      </c>
      <c r="F43" s="20"/>
      <c r="G43" s="21"/>
      <c r="H43" s="21"/>
      <c r="I43" s="21"/>
      <c r="J43" s="21"/>
      <c r="M43" s="8">
        <v>48</v>
      </c>
      <c r="N43" s="26" t="s">
        <v>638</v>
      </c>
      <c r="O43" s="45">
        <v>0</v>
      </c>
      <c r="P43" s="26">
        <v>5375076</v>
      </c>
      <c r="Q43" s="26">
        <v>5375076</v>
      </c>
      <c r="R43" s="71"/>
      <c r="S43" s="9"/>
      <c r="T43" s="9"/>
      <c r="U43" s="9"/>
      <c r="V43" s="9"/>
    </row>
    <row r="44" spans="1:22" x14ac:dyDescent="0.3">
      <c r="A44" s="30">
        <v>49</v>
      </c>
      <c r="B44" s="26" t="s">
        <v>639</v>
      </c>
      <c r="C44" s="26">
        <v>25000</v>
      </c>
      <c r="D44" s="26">
        <v>0</v>
      </c>
      <c r="E44" s="26">
        <v>25000</v>
      </c>
      <c r="F44" s="20"/>
      <c r="G44" s="21"/>
      <c r="H44" s="21"/>
      <c r="I44" s="21"/>
      <c r="J44" s="21"/>
      <c r="M44" s="8">
        <v>49</v>
      </c>
      <c r="N44" s="26" t="s">
        <v>639</v>
      </c>
      <c r="O44" s="26">
        <v>25000</v>
      </c>
      <c r="P44" s="26">
        <v>0</v>
      </c>
      <c r="Q44" s="26">
        <v>25000</v>
      </c>
      <c r="R44" s="71"/>
      <c r="S44" s="9"/>
      <c r="T44" s="9"/>
      <c r="U44" s="9"/>
      <c r="V44" s="9"/>
    </row>
    <row r="45" spans="1:22" x14ac:dyDescent="0.3">
      <c r="A45" s="30">
        <v>50</v>
      </c>
      <c r="B45" s="26" t="s">
        <v>640</v>
      </c>
      <c r="C45" s="26">
        <v>0</v>
      </c>
      <c r="D45" s="26">
        <v>0</v>
      </c>
      <c r="E45" s="26">
        <v>0</v>
      </c>
      <c r="F45" s="20"/>
      <c r="G45" s="21"/>
      <c r="H45" s="21"/>
      <c r="I45" s="21"/>
      <c r="J45" s="21"/>
      <c r="M45" s="8">
        <v>50</v>
      </c>
      <c r="N45" s="26" t="s">
        <v>640</v>
      </c>
      <c r="O45" s="26">
        <v>0</v>
      </c>
      <c r="P45" s="26">
        <v>0</v>
      </c>
      <c r="Q45" s="26">
        <v>0</v>
      </c>
      <c r="R45" s="71"/>
      <c r="S45" s="9"/>
      <c r="T45" s="9"/>
      <c r="U45" s="9"/>
      <c r="V45" s="9"/>
    </row>
    <row r="46" spans="1:22" ht="14.5" x14ac:dyDescent="0.3">
      <c r="A46" s="30">
        <v>51</v>
      </c>
      <c r="B46" s="26" t="s">
        <v>641</v>
      </c>
      <c r="C46" s="26">
        <v>8473829</v>
      </c>
      <c r="D46" s="48">
        <f>SUM(D61:D62)</f>
        <v>16948996</v>
      </c>
      <c r="E46" s="48">
        <f>SUM(C46:D46)</f>
        <v>25422825</v>
      </c>
      <c r="F46" s="20" t="s">
        <v>996</v>
      </c>
      <c r="G46" s="21"/>
      <c r="H46" s="34"/>
      <c r="I46" s="21"/>
      <c r="J46" s="21"/>
      <c r="K46" s="39">
        <v>16687637</v>
      </c>
      <c r="M46" s="8">
        <v>51</v>
      </c>
      <c r="N46" s="26" t="s">
        <v>641</v>
      </c>
      <c r="O46" s="26">
        <v>9279167</v>
      </c>
      <c r="P46" s="26">
        <v>19538606</v>
      </c>
      <c r="Q46" s="26">
        <v>28817773</v>
      </c>
      <c r="R46" s="71"/>
      <c r="S46" s="9"/>
      <c r="T46" s="9"/>
      <c r="U46" s="78"/>
      <c r="V46" s="77"/>
    </row>
    <row r="47" spans="1:22" ht="14.5" x14ac:dyDescent="0.3">
      <c r="A47" s="30">
        <v>52</v>
      </c>
      <c r="B47" s="26" t="s">
        <v>642</v>
      </c>
      <c r="C47" s="26">
        <v>131477379</v>
      </c>
      <c r="D47" s="48">
        <f>SUM(D35:D46)</f>
        <v>67012730</v>
      </c>
      <c r="E47" s="48">
        <f>SUM(E35:E46)</f>
        <v>198490109</v>
      </c>
      <c r="F47" s="20"/>
      <c r="G47" s="21"/>
      <c r="H47" s="34"/>
      <c r="I47" s="21"/>
      <c r="J47" s="21"/>
      <c r="M47" s="8">
        <v>52</v>
      </c>
      <c r="N47" s="26" t="s">
        <v>642</v>
      </c>
      <c r="O47" s="26">
        <v>142209214</v>
      </c>
      <c r="P47" s="26">
        <v>72603034</v>
      </c>
      <c r="Q47" s="26">
        <v>214812248</v>
      </c>
      <c r="R47" s="71"/>
      <c r="S47" s="9"/>
      <c r="T47" s="9"/>
      <c r="U47" s="78"/>
      <c r="V47" s="77"/>
    </row>
    <row r="48" spans="1:22" ht="14.5" x14ac:dyDescent="0.3">
      <c r="A48" s="30">
        <v>53</v>
      </c>
      <c r="B48" s="26" t="s">
        <v>643</v>
      </c>
      <c r="C48" s="36"/>
      <c r="D48" s="36"/>
      <c r="E48" s="36"/>
      <c r="F48" s="20"/>
      <c r="G48" s="21"/>
      <c r="H48" s="21"/>
      <c r="I48" s="21"/>
      <c r="J48" s="21"/>
      <c r="M48" s="8">
        <v>53</v>
      </c>
      <c r="N48" s="26" t="s">
        <v>643</v>
      </c>
      <c r="O48" s="36"/>
      <c r="P48" s="36"/>
      <c r="Q48" s="36"/>
      <c r="R48" s="71"/>
      <c r="S48" s="9"/>
      <c r="T48" s="72"/>
      <c r="U48" s="78"/>
      <c r="V48" s="77"/>
    </row>
    <row r="49" spans="1:22" ht="14.5" x14ac:dyDescent="0.3">
      <c r="A49" s="30">
        <v>54</v>
      </c>
      <c r="B49" s="26" t="s">
        <v>644</v>
      </c>
      <c r="C49" s="40">
        <v>0</v>
      </c>
      <c r="D49" s="42"/>
      <c r="E49" s="42">
        <v>0</v>
      </c>
      <c r="F49" s="20"/>
      <c r="G49" s="21"/>
      <c r="H49" s="21"/>
      <c r="I49" s="21"/>
      <c r="J49" s="21"/>
      <c r="M49" s="8">
        <v>54</v>
      </c>
      <c r="N49" s="26" t="s">
        <v>1006</v>
      </c>
      <c r="O49" s="40">
        <v>0</v>
      </c>
      <c r="P49" s="36"/>
      <c r="Q49" s="42">
        <v>0</v>
      </c>
      <c r="R49" s="71"/>
      <c r="S49" s="9"/>
      <c r="T49" s="72"/>
      <c r="U49" s="78"/>
      <c r="V49" s="77"/>
    </row>
    <row r="50" spans="1:22" ht="14.5" x14ac:dyDescent="0.3">
      <c r="A50" s="30">
        <v>55</v>
      </c>
      <c r="B50" s="26" t="s">
        <v>645</v>
      </c>
      <c r="C50" s="36"/>
      <c r="D50" s="47">
        <f>D63</f>
        <v>2291321.4236966567</v>
      </c>
      <c r="E50" s="51">
        <f>D50</f>
        <v>2291321.4236966567</v>
      </c>
      <c r="F50" s="20" t="s">
        <v>996</v>
      </c>
      <c r="G50" s="21"/>
      <c r="H50" s="21"/>
      <c r="I50" s="21"/>
      <c r="J50" s="21"/>
      <c r="M50" s="8">
        <v>55</v>
      </c>
      <c r="N50" s="26" t="s">
        <v>1007</v>
      </c>
      <c r="O50" s="36"/>
      <c r="P50" s="37">
        <v>1571732.2290489066</v>
      </c>
      <c r="Q50" s="42">
        <v>1571732</v>
      </c>
      <c r="R50" s="71" t="s">
        <v>1019</v>
      </c>
      <c r="S50" s="9"/>
      <c r="T50" s="9"/>
      <c r="U50" s="78"/>
      <c r="V50" s="77"/>
    </row>
    <row r="51" spans="1:22" ht="14.5" x14ac:dyDescent="0.3">
      <c r="A51" s="30">
        <v>56</v>
      </c>
      <c r="B51" s="26" t="s">
        <v>646</v>
      </c>
      <c r="C51" s="40">
        <v>0</v>
      </c>
      <c r="D51" s="54">
        <f>D50</f>
        <v>2291321.4236966567</v>
      </c>
      <c r="E51" s="51">
        <f>E50</f>
        <v>2291321.4236966567</v>
      </c>
      <c r="F51" s="20"/>
      <c r="G51" s="21"/>
      <c r="H51" s="21"/>
      <c r="I51" s="21"/>
      <c r="J51" s="21"/>
      <c r="K51" s="35">
        <v>1988485.4575127603</v>
      </c>
      <c r="M51" s="8">
        <v>56</v>
      </c>
      <c r="N51" s="26" t="s">
        <v>646</v>
      </c>
      <c r="O51" s="40">
        <v>0</v>
      </c>
      <c r="P51" s="40">
        <v>1571732</v>
      </c>
      <c r="Q51" s="42">
        <v>1571732</v>
      </c>
      <c r="R51" s="71"/>
      <c r="S51" s="9"/>
      <c r="T51" s="9"/>
      <c r="U51" s="78"/>
      <c r="V51" s="77"/>
    </row>
    <row r="52" spans="1:22" ht="14.5" x14ac:dyDescent="0.3">
      <c r="A52" s="30">
        <v>57</v>
      </c>
      <c r="B52" s="36"/>
      <c r="C52" s="36"/>
      <c r="D52" s="36"/>
      <c r="E52" s="36"/>
      <c r="F52" s="20"/>
      <c r="G52" s="21"/>
      <c r="H52" s="21"/>
      <c r="I52" s="21"/>
      <c r="J52" s="21"/>
      <c r="M52" s="8">
        <v>57</v>
      </c>
      <c r="N52" s="36"/>
      <c r="O52" s="36"/>
      <c r="P52" s="36"/>
      <c r="Q52" s="36"/>
      <c r="R52" s="71"/>
      <c r="S52" s="9"/>
      <c r="T52" s="9"/>
      <c r="U52" s="78"/>
      <c r="V52" s="77"/>
    </row>
    <row r="53" spans="1:22" ht="14.5" x14ac:dyDescent="0.3">
      <c r="A53" s="30">
        <v>58</v>
      </c>
      <c r="B53" s="26" t="s">
        <v>647</v>
      </c>
      <c r="C53" s="45">
        <v>131477379</v>
      </c>
      <c r="D53" s="48">
        <f>D47-D51</f>
        <v>64721408.57630334</v>
      </c>
      <c r="E53" s="48">
        <f>E47-E51</f>
        <v>196198787.57630333</v>
      </c>
      <c r="F53" s="20"/>
      <c r="G53" s="21"/>
      <c r="H53" s="21"/>
      <c r="I53" s="21"/>
      <c r="J53" s="21"/>
      <c r="M53" s="8">
        <v>58</v>
      </c>
      <c r="N53" s="26" t="s">
        <v>647</v>
      </c>
      <c r="O53" s="45">
        <v>142209214</v>
      </c>
      <c r="P53" s="45">
        <v>71031302</v>
      </c>
      <c r="Q53" s="45">
        <v>213240516</v>
      </c>
      <c r="R53" s="71"/>
      <c r="S53" s="9"/>
      <c r="T53" s="9"/>
      <c r="U53" s="78"/>
      <c r="V53" s="77"/>
    </row>
    <row r="54" spans="1:22" x14ac:dyDescent="0.3">
      <c r="A54" s="30">
        <v>59</v>
      </c>
      <c r="B54" s="40" t="s">
        <v>648</v>
      </c>
      <c r="C54" s="36"/>
      <c r="D54" s="36"/>
      <c r="E54" s="55" t="e">
        <f>197467144-#REF!</f>
        <v>#REF!</v>
      </c>
      <c r="F54" s="20" t="s">
        <v>997</v>
      </c>
      <c r="G54" s="21"/>
      <c r="H54" s="21"/>
      <c r="I54" s="21"/>
      <c r="J54" s="21"/>
      <c r="M54" s="8">
        <v>59</v>
      </c>
      <c r="N54" s="40" t="s">
        <v>1008</v>
      </c>
      <c r="O54" s="36"/>
      <c r="P54" s="36"/>
      <c r="Q54" s="55">
        <v>205141063</v>
      </c>
      <c r="R54" s="71"/>
      <c r="S54" s="9"/>
      <c r="T54" s="9"/>
      <c r="U54" s="9"/>
      <c r="V54" s="9"/>
    </row>
    <row r="55" spans="1:22" x14ac:dyDescent="0.3">
      <c r="A55" s="30">
        <v>60</v>
      </c>
      <c r="B55" s="40" t="s">
        <v>649</v>
      </c>
      <c r="C55" s="36"/>
      <c r="D55" s="36"/>
      <c r="E55" s="62">
        <f>F29+G25</f>
        <v>2233553</v>
      </c>
      <c r="F55" s="20" t="s">
        <v>995</v>
      </c>
      <c r="G55" s="21"/>
      <c r="H55" s="21"/>
      <c r="I55" s="21"/>
      <c r="J55" s="21"/>
      <c r="M55" s="8">
        <v>60</v>
      </c>
      <c r="N55" s="40" t="s">
        <v>649</v>
      </c>
      <c r="O55" s="36"/>
      <c r="P55" s="36"/>
      <c r="Q55" s="62">
        <f>G25</f>
        <v>2233553</v>
      </c>
      <c r="R55" s="71" t="s">
        <v>1018</v>
      </c>
      <c r="S55" s="9"/>
      <c r="T55" s="9"/>
      <c r="U55" s="9"/>
      <c r="V55" s="9"/>
    </row>
    <row r="56" spans="1:22" x14ac:dyDescent="0.3">
      <c r="A56" s="30">
        <v>61</v>
      </c>
      <c r="B56" s="56" t="s">
        <v>650</v>
      </c>
      <c r="C56" s="36"/>
      <c r="D56" s="36"/>
      <c r="E56" s="57" t="e">
        <f>SUM(E54:E55)</f>
        <v>#REF!</v>
      </c>
      <c r="F56" s="20"/>
      <c r="G56" s="21"/>
      <c r="H56" s="21"/>
      <c r="I56" s="21"/>
      <c r="J56" s="21"/>
      <c r="M56" s="8">
        <v>61</v>
      </c>
      <c r="N56" s="56" t="s">
        <v>1009</v>
      </c>
      <c r="O56" s="36"/>
      <c r="P56" s="36"/>
      <c r="Q56" s="69">
        <f>Q55+Q54</f>
        <v>207374616</v>
      </c>
      <c r="R56" s="71"/>
      <c r="S56" s="9"/>
      <c r="T56" s="9"/>
      <c r="U56" s="9"/>
      <c r="V56" s="9"/>
    </row>
    <row r="57" spans="1:22" x14ac:dyDescent="0.3">
      <c r="A57" s="30">
        <v>62</v>
      </c>
      <c r="B57" s="58" t="s">
        <v>651</v>
      </c>
      <c r="C57" s="44"/>
      <c r="D57" s="44"/>
      <c r="E57" s="51" t="e">
        <f>E56-E53</f>
        <v>#REF!</v>
      </c>
      <c r="F57" s="59" t="e">
        <f>E57/E56</f>
        <v>#REF!</v>
      </c>
      <c r="G57" s="21"/>
      <c r="H57" s="21"/>
      <c r="I57" s="21"/>
      <c r="J57" s="21"/>
      <c r="M57" s="8">
        <v>62</v>
      </c>
      <c r="N57" s="58" t="s">
        <v>651</v>
      </c>
      <c r="O57" s="44"/>
      <c r="P57" s="44"/>
      <c r="Q57" s="70">
        <f>IF(Q53&gt;Q56, 0, Q56-Q53)</f>
        <v>0</v>
      </c>
      <c r="R57" s="71"/>
      <c r="S57" s="9"/>
      <c r="T57" s="9"/>
      <c r="U57" s="9"/>
      <c r="V57" s="9"/>
    </row>
    <row r="58" spans="1:22" x14ac:dyDescent="0.3">
      <c r="S58" s="9"/>
      <c r="T58" s="9"/>
      <c r="U58" s="9"/>
      <c r="V58" s="9"/>
    </row>
    <row r="59" spans="1:22" x14ac:dyDescent="0.3">
      <c r="C59" s="63" t="s">
        <v>990</v>
      </c>
      <c r="D59" s="64">
        <v>16268182</v>
      </c>
      <c r="T59" s="9"/>
      <c r="U59" s="9"/>
    </row>
    <row r="60" spans="1:22" x14ac:dyDescent="0.3">
      <c r="C60" s="63" t="s">
        <v>991</v>
      </c>
      <c r="D60" s="18">
        <v>601257</v>
      </c>
    </row>
    <row r="61" spans="1:22" x14ac:dyDescent="0.3">
      <c r="D61" s="64">
        <f>SUM(D59:D60)</f>
        <v>16869439</v>
      </c>
    </row>
    <row r="62" spans="1:22" x14ac:dyDescent="0.3">
      <c r="C62" s="3" t="s">
        <v>992</v>
      </c>
      <c r="D62" s="3">
        <v>79557</v>
      </c>
    </row>
    <row r="63" spans="1:22" x14ac:dyDescent="0.3">
      <c r="C63" s="63" t="s">
        <v>993</v>
      </c>
      <c r="D63" s="64">
        <v>2291321.4236966567</v>
      </c>
    </row>
  </sheetData>
  <mergeCells count="1">
    <mergeCell ref="G26:J28"/>
  </mergeCells>
  <pageMargins left="0.95" right="0.95" top="0.75" bottom="0.5" header="0.3" footer="0.3"/>
  <pageSetup paperSize="5" scale="75" fitToHeight="2" orientation="landscape" r:id="rId1"/>
  <rowBreaks count="1" manualBreakCount="1">
    <brk id="31" max="10"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P328"/>
  <sheetViews>
    <sheetView showGridLines="0" tabSelected="1" zoomScaleNormal="100" workbookViewId="0">
      <pane xSplit="2" ySplit="8" topLeftCell="C9" activePane="bottomRight" state="frozen"/>
      <selection pane="topRight" activeCell="D1" sqref="D1"/>
      <selection pane="bottomLeft" activeCell="A9" sqref="A9"/>
      <selection pane="bottomRight" activeCell="C9" sqref="C9"/>
    </sheetView>
  </sheetViews>
  <sheetFormatPr defaultColWidth="8.81640625" defaultRowHeight="13" x14ac:dyDescent="0.3"/>
  <cols>
    <col min="1" max="1" width="5" style="3" bestFit="1" customWidth="1"/>
    <col min="2" max="2" width="25.453125" style="3" bestFit="1" customWidth="1"/>
    <col min="3" max="4" width="14.54296875" style="3" bestFit="1" customWidth="1"/>
    <col min="5" max="5" width="13.54296875" style="3" bestFit="1" customWidth="1"/>
    <col min="6" max="6" width="8" style="3" bestFit="1" customWidth="1"/>
    <col min="7" max="7" width="15.54296875" style="3" bestFit="1" customWidth="1"/>
    <col min="8" max="8" width="11" style="3" bestFit="1" customWidth="1"/>
    <col min="9" max="9" width="2.1796875" style="3" customWidth="1"/>
    <col min="10" max="11" width="14.54296875" style="3" bestFit="1" customWidth="1"/>
    <col min="12" max="12" width="8.1796875" style="3" bestFit="1" customWidth="1"/>
    <col min="13" max="13" width="13.54296875" style="3" bestFit="1" customWidth="1"/>
    <col min="14" max="14" width="8.54296875" style="3" bestFit="1" customWidth="1"/>
    <col min="15" max="15" width="15.54296875" style="3" bestFit="1" customWidth="1"/>
    <col min="16" max="16" width="9.81640625" style="3" bestFit="1" customWidth="1"/>
    <col min="17" max="16384" width="8.81640625" style="3"/>
  </cols>
  <sheetData>
    <row r="1" spans="1:16" s="19" customFormat="1" ht="15.5" x14ac:dyDescent="0.35">
      <c r="A1" s="7"/>
      <c r="B1" s="7" t="s">
        <v>652</v>
      </c>
      <c r="O1" s="81" t="s">
        <v>1037</v>
      </c>
    </row>
    <row r="2" spans="1:16" s="19" customFormat="1" ht="15.5" x14ac:dyDescent="0.35">
      <c r="A2" s="7"/>
      <c r="B2" s="7" t="s">
        <v>971</v>
      </c>
    </row>
    <row r="3" spans="1:16" s="19" customFormat="1" ht="15.5" x14ac:dyDescent="0.35">
      <c r="A3" s="7"/>
      <c r="B3" s="7" t="s">
        <v>1033</v>
      </c>
    </row>
    <row r="4" spans="1:16" x14ac:dyDescent="0.3">
      <c r="A4" s="5"/>
      <c r="B4" s="5" t="s">
        <v>1036</v>
      </c>
    </row>
    <row r="5" spans="1:16" x14ac:dyDescent="0.3">
      <c r="A5" s="5"/>
      <c r="B5" s="15"/>
    </row>
    <row r="6" spans="1:16" s="15" customFormat="1" hidden="1" x14ac:dyDescent="0.3">
      <c r="B6" s="16" t="s">
        <v>962</v>
      </c>
      <c r="C6" s="12">
        <v>47</v>
      </c>
      <c r="D6" s="12">
        <v>44</v>
      </c>
      <c r="E6" s="12"/>
      <c r="F6" s="12"/>
      <c r="G6" s="12"/>
      <c r="H6" s="12"/>
      <c r="I6" s="12"/>
      <c r="J6" s="12">
        <v>101</v>
      </c>
      <c r="K6" s="12">
        <v>98</v>
      </c>
      <c r="L6" s="12"/>
      <c r="M6" s="12"/>
      <c r="N6" s="12"/>
      <c r="O6" s="12"/>
      <c r="P6" s="12"/>
    </row>
    <row r="7" spans="1:16" x14ac:dyDescent="0.3">
      <c r="A7" s="17"/>
      <c r="B7" s="17"/>
      <c r="C7" s="84" t="s">
        <v>1035</v>
      </c>
      <c r="D7" s="84"/>
      <c r="E7" s="84"/>
      <c r="F7" s="84"/>
      <c r="G7" s="84"/>
      <c r="H7" s="84"/>
      <c r="I7" s="17"/>
      <c r="J7" s="84" t="s">
        <v>1032</v>
      </c>
      <c r="K7" s="84"/>
      <c r="L7" s="84"/>
      <c r="M7" s="84"/>
      <c r="N7" s="84"/>
      <c r="O7" s="84"/>
      <c r="P7" s="84"/>
    </row>
    <row r="8" spans="1:16" ht="56.15" customHeight="1" x14ac:dyDescent="0.3">
      <c r="A8" s="14" t="s">
        <v>619</v>
      </c>
      <c r="B8" s="14" t="s">
        <v>972</v>
      </c>
      <c r="C8" s="14" t="s">
        <v>973</v>
      </c>
      <c r="D8" s="14" t="s">
        <v>620</v>
      </c>
      <c r="E8" s="13" t="s">
        <v>974</v>
      </c>
      <c r="F8" s="13" t="s">
        <v>975</v>
      </c>
      <c r="G8" s="13" t="s">
        <v>976</v>
      </c>
      <c r="H8" s="13" t="s">
        <v>977</v>
      </c>
      <c r="I8" s="13"/>
      <c r="J8" s="14" t="s">
        <v>973</v>
      </c>
      <c r="K8" s="14" t="s">
        <v>970</v>
      </c>
      <c r="L8" s="14" t="s">
        <v>1034</v>
      </c>
      <c r="M8" s="13" t="s">
        <v>974</v>
      </c>
      <c r="N8" s="13" t="s">
        <v>978</v>
      </c>
      <c r="O8" s="13" t="s">
        <v>976</v>
      </c>
      <c r="P8" s="13" t="s">
        <v>979</v>
      </c>
    </row>
    <row r="9" spans="1:16" x14ac:dyDescent="0.3">
      <c r="A9" s="10" t="s">
        <v>0</v>
      </c>
      <c r="B9" s="3" t="s">
        <v>657</v>
      </c>
      <c r="C9" s="4">
        <v>26629510</v>
      </c>
      <c r="D9" s="4">
        <v>31762847.319999997</v>
      </c>
      <c r="E9" s="6">
        <v>5133337.3199999966</v>
      </c>
      <c r="F9" s="11">
        <v>1.1927687486551573</v>
      </c>
      <c r="G9" s="18">
        <v>26529795.66124</v>
      </c>
      <c r="H9" s="11">
        <v>1.1972518644915715</v>
      </c>
      <c r="J9" s="4">
        <v>29563171</v>
      </c>
      <c r="K9" s="4">
        <v>33031339.780000001</v>
      </c>
      <c r="L9" s="11">
        <v>3.9936358577062375E-2</v>
      </c>
      <c r="M9" s="6">
        <v>3468168.7800000012</v>
      </c>
      <c r="N9" s="11">
        <v>1.1173138287499673</v>
      </c>
      <c r="O9" s="18">
        <v>29563170.916989997</v>
      </c>
      <c r="P9" s="11">
        <v>1.1173138318872569</v>
      </c>
    </row>
    <row r="10" spans="1:16" x14ac:dyDescent="0.3">
      <c r="A10" s="10" t="s">
        <v>378</v>
      </c>
      <c r="B10" s="3" t="s">
        <v>658</v>
      </c>
      <c r="C10" s="4">
        <v>14279819</v>
      </c>
      <c r="D10" s="4">
        <v>16001958.204557965</v>
      </c>
      <c r="E10" s="6">
        <v>1722139.2045579646</v>
      </c>
      <c r="F10" s="11">
        <v>1.1205995121197239</v>
      </c>
      <c r="G10" s="18">
        <v>13489100.060000001</v>
      </c>
      <c r="H10" s="11">
        <v>1.1862880498610493</v>
      </c>
      <c r="J10" s="4">
        <v>14824675</v>
      </c>
      <c r="K10" s="4">
        <v>16505570.159142412</v>
      </c>
      <c r="L10" s="11">
        <v>3.1471895385965939E-2</v>
      </c>
      <c r="M10" s="6">
        <v>1680895.1591424122</v>
      </c>
      <c r="N10" s="11">
        <v>1.1133849584656941</v>
      </c>
      <c r="O10" s="18">
        <v>14410940.639999999</v>
      </c>
      <c r="P10" s="11">
        <v>1.1453499512258356</v>
      </c>
    </row>
    <row r="11" spans="1:16" x14ac:dyDescent="0.3">
      <c r="A11" s="10" t="s">
        <v>1</v>
      </c>
      <c r="B11" s="3" t="s">
        <v>659</v>
      </c>
      <c r="C11" s="4">
        <v>43370784</v>
      </c>
      <c r="D11" s="4">
        <v>66813738.511960223</v>
      </c>
      <c r="E11" s="6">
        <v>23442954.511960223</v>
      </c>
      <c r="F11" s="11">
        <v>1.5405241120833837</v>
      </c>
      <c r="G11" s="18">
        <v>42850725.390000008</v>
      </c>
      <c r="H11" s="11">
        <v>1.5592207110583107</v>
      </c>
      <c r="J11" s="4">
        <v>46476255</v>
      </c>
      <c r="K11" s="4">
        <v>67652018.456366137</v>
      </c>
      <c r="L11" s="11">
        <v>1.2546520567111421E-2</v>
      </c>
      <c r="M11" s="6">
        <v>21175763.456366137</v>
      </c>
      <c r="N11" s="11">
        <v>1.4556254254213499</v>
      </c>
      <c r="O11" s="18">
        <v>46476254.920000002</v>
      </c>
      <c r="P11" s="11">
        <v>1.4556254279269309</v>
      </c>
    </row>
    <row r="12" spans="1:16" x14ac:dyDescent="0.3">
      <c r="A12" s="10" t="s">
        <v>2</v>
      </c>
      <c r="B12" s="3" t="s">
        <v>660</v>
      </c>
      <c r="C12" s="4">
        <v>25761653</v>
      </c>
      <c r="D12" s="4">
        <v>35498673.615334213</v>
      </c>
      <c r="E12" s="6">
        <v>9737020.6153342128</v>
      </c>
      <c r="F12" s="11">
        <v>1.3779656769437199</v>
      </c>
      <c r="G12" s="18">
        <v>22473928.549999997</v>
      </c>
      <c r="H12" s="11">
        <v>1.5795491000319219</v>
      </c>
      <c r="J12" s="4">
        <v>26799945</v>
      </c>
      <c r="K12" s="4">
        <v>36869489.821379654</v>
      </c>
      <c r="L12" s="11">
        <v>3.8615983822372892E-2</v>
      </c>
      <c r="M12" s="6">
        <v>10069544.821379654</v>
      </c>
      <c r="N12" s="11">
        <v>1.3757300554676382</v>
      </c>
      <c r="O12" s="18">
        <v>23505262.730000008</v>
      </c>
      <c r="P12" s="11">
        <v>1.5685631870994892</v>
      </c>
    </row>
    <row r="13" spans="1:16" x14ac:dyDescent="0.3">
      <c r="A13" s="10" t="s">
        <v>3</v>
      </c>
      <c r="B13" s="3" t="s">
        <v>661</v>
      </c>
      <c r="C13" s="4">
        <v>16043246</v>
      </c>
      <c r="D13" s="4">
        <v>27263835.5</v>
      </c>
      <c r="E13" s="6">
        <v>11220589.5</v>
      </c>
      <c r="F13" s="11">
        <v>1.699396462536322</v>
      </c>
      <c r="G13" s="18">
        <v>12765297.700000001</v>
      </c>
      <c r="H13" s="11">
        <v>2.1357774915033905</v>
      </c>
      <c r="J13" s="4">
        <v>16679304</v>
      </c>
      <c r="K13" s="4">
        <v>27932098.800000001</v>
      </c>
      <c r="L13" s="11">
        <v>2.4510979022008873E-2</v>
      </c>
      <c r="M13" s="6">
        <v>11252794.800000001</v>
      </c>
      <c r="N13" s="11">
        <v>1.6746561367308852</v>
      </c>
      <c r="O13" s="18">
        <v>13429756.490000002</v>
      </c>
      <c r="P13" s="11">
        <v>2.0798663639805128</v>
      </c>
    </row>
    <row r="14" spans="1:16" x14ac:dyDescent="0.3">
      <c r="A14" s="10" t="s">
        <v>4</v>
      </c>
      <c r="B14" s="3" t="s">
        <v>662</v>
      </c>
      <c r="C14" s="4">
        <v>65247254</v>
      </c>
      <c r="D14" s="4">
        <v>109284940.64429237</v>
      </c>
      <c r="E14" s="6">
        <v>44037686.644292369</v>
      </c>
      <c r="F14" s="11">
        <v>1.6749354791895514</v>
      </c>
      <c r="G14" s="18">
        <v>64739542.478479996</v>
      </c>
      <c r="H14" s="11">
        <v>1.6880709449038764</v>
      </c>
      <c r="J14" s="4">
        <v>67737065</v>
      </c>
      <c r="K14" s="4">
        <v>116159044.68892172</v>
      </c>
      <c r="L14" s="11">
        <v>6.2900743726472114E-2</v>
      </c>
      <c r="M14" s="6">
        <v>48421979.68892172</v>
      </c>
      <c r="N14" s="11">
        <v>1.7148520487110228</v>
      </c>
      <c r="O14" s="18">
        <v>67357496.128189996</v>
      </c>
      <c r="P14" s="11">
        <v>1.7245154788392978</v>
      </c>
    </row>
    <row r="15" spans="1:16" x14ac:dyDescent="0.3">
      <c r="A15" s="10" t="s">
        <v>5</v>
      </c>
      <c r="B15" s="3" t="s">
        <v>663</v>
      </c>
      <c r="C15" s="4">
        <v>65961393</v>
      </c>
      <c r="D15" s="4">
        <v>96979638.398141772</v>
      </c>
      <c r="E15" s="6">
        <v>31018245.398141772</v>
      </c>
      <c r="F15" s="11">
        <v>1.4702484891145609</v>
      </c>
      <c r="G15" s="18">
        <v>64412505.935059994</v>
      </c>
      <c r="H15" s="11">
        <v>1.5056026308915169</v>
      </c>
      <c r="J15" s="4">
        <v>69496900</v>
      </c>
      <c r="K15" s="4">
        <v>101607558.35513805</v>
      </c>
      <c r="L15" s="11">
        <v>4.7720532200756817E-2</v>
      </c>
      <c r="M15" s="6">
        <v>32110658.355138049</v>
      </c>
      <c r="N15" s="11">
        <v>1.4620444704028244</v>
      </c>
      <c r="O15" s="18">
        <v>69496899.573259994</v>
      </c>
      <c r="P15" s="11">
        <v>1.4620444793803884</v>
      </c>
    </row>
    <row r="16" spans="1:16" x14ac:dyDescent="0.3">
      <c r="A16" s="10" t="s">
        <v>6</v>
      </c>
      <c r="B16" s="3" t="s">
        <v>664</v>
      </c>
      <c r="C16" s="4">
        <v>30857120</v>
      </c>
      <c r="D16" s="4">
        <v>39872568.530000001</v>
      </c>
      <c r="E16" s="6">
        <v>9015448.5300000012</v>
      </c>
      <c r="F16" s="11">
        <v>1.2921675298926147</v>
      </c>
      <c r="G16" s="18">
        <v>30147061.930000003</v>
      </c>
      <c r="H16" s="11">
        <v>1.3226021369041583</v>
      </c>
      <c r="J16" s="4">
        <v>33942251</v>
      </c>
      <c r="K16" s="4">
        <v>42981109.399999999</v>
      </c>
      <c r="L16" s="11">
        <v>7.7961891711619741E-2</v>
      </c>
      <c r="M16" s="6">
        <v>9038858.3999999985</v>
      </c>
      <c r="N16" s="11">
        <v>1.2663010888700339</v>
      </c>
      <c r="O16" s="18">
        <v>33942250.529999994</v>
      </c>
      <c r="P16" s="11">
        <v>1.2663011064045673</v>
      </c>
    </row>
    <row r="17" spans="1:16" x14ac:dyDescent="0.3">
      <c r="A17" s="10" t="s">
        <v>7</v>
      </c>
      <c r="B17" s="3" t="s">
        <v>665</v>
      </c>
      <c r="C17" s="4">
        <v>80741146</v>
      </c>
      <c r="D17" s="4">
        <v>83777458.420000017</v>
      </c>
      <c r="E17" s="6">
        <v>3036312.4200000167</v>
      </c>
      <c r="F17" s="11">
        <v>1.0376055155323163</v>
      </c>
      <c r="G17" s="18">
        <v>80741145.670000002</v>
      </c>
      <c r="H17" s="11">
        <v>1.0376055197731506</v>
      </c>
      <c r="J17" s="4">
        <v>89310930</v>
      </c>
      <c r="K17" s="4">
        <v>91313199.128000006</v>
      </c>
      <c r="L17" s="11">
        <v>8.9949502528725536E-2</v>
      </c>
      <c r="M17" s="6">
        <v>2002269.1280000061</v>
      </c>
      <c r="N17" s="11">
        <v>1.022419082725933</v>
      </c>
      <c r="O17" s="18">
        <v>89310929.609999999</v>
      </c>
      <c r="P17" s="11">
        <v>1.0224190871905987</v>
      </c>
    </row>
    <row r="18" spans="1:16" x14ac:dyDescent="0.3">
      <c r="A18" s="10" t="s">
        <v>8</v>
      </c>
      <c r="B18" s="3" t="s">
        <v>666</v>
      </c>
      <c r="C18" s="4">
        <v>27852870</v>
      </c>
      <c r="D18" s="4">
        <v>35770785.969999984</v>
      </c>
      <c r="E18" s="6">
        <v>7917915.9699999839</v>
      </c>
      <c r="F18" s="11">
        <v>1.2842764846136137</v>
      </c>
      <c r="G18" s="18">
        <v>27367440.740000006</v>
      </c>
      <c r="H18" s="11">
        <v>1.3070563049659856</v>
      </c>
      <c r="J18" s="4">
        <v>30252650</v>
      </c>
      <c r="K18" s="4">
        <v>37556133.07</v>
      </c>
      <c r="L18" s="11">
        <v>4.9910759620919148E-2</v>
      </c>
      <c r="M18" s="6">
        <v>7303483.0700000003</v>
      </c>
      <c r="N18" s="11">
        <v>1.2414163079928535</v>
      </c>
      <c r="O18" s="18">
        <v>30252650.170000002</v>
      </c>
      <c r="P18" s="11">
        <v>1.2414163010169101</v>
      </c>
    </row>
    <row r="19" spans="1:16" x14ac:dyDescent="0.3">
      <c r="A19" s="10" t="s">
        <v>9</v>
      </c>
      <c r="B19" s="3" t="s">
        <v>667</v>
      </c>
      <c r="C19" s="4">
        <v>7155527</v>
      </c>
      <c r="D19" s="4">
        <v>11831479.381320968</v>
      </c>
      <c r="E19" s="6">
        <v>4675952.3813209683</v>
      </c>
      <c r="F19" s="11">
        <v>1.653474213893815</v>
      </c>
      <c r="G19" s="18">
        <v>7016240.1299999999</v>
      </c>
      <c r="H19" s="11">
        <v>1.686299094971393</v>
      </c>
      <c r="J19" s="4">
        <v>8289242</v>
      </c>
      <c r="K19" s="4">
        <v>12585821.941806979</v>
      </c>
      <c r="L19" s="11">
        <v>6.3757247608184561E-2</v>
      </c>
      <c r="M19" s="6">
        <v>4296579.9418069795</v>
      </c>
      <c r="N19" s="11">
        <v>1.5183320672513818</v>
      </c>
      <c r="O19" s="18">
        <v>8289241.6600000001</v>
      </c>
      <c r="P19" s="11">
        <v>1.5183321295288403</v>
      </c>
    </row>
    <row r="20" spans="1:16" x14ac:dyDescent="0.3">
      <c r="A20" s="10" t="s">
        <v>10</v>
      </c>
      <c r="B20" s="3" t="s">
        <v>668</v>
      </c>
      <c r="C20" s="4">
        <v>66987030</v>
      </c>
      <c r="D20" s="4">
        <v>87126784.803713366</v>
      </c>
      <c r="E20" s="6">
        <v>20139754.803713366</v>
      </c>
      <c r="F20" s="11">
        <v>1.3006515560357486</v>
      </c>
      <c r="G20" s="18">
        <v>65238260.339999989</v>
      </c>
      <c r="H20" s="11">
        <v>1.3355166791640014</v>
      </c>
      <c r="J20" s="4">
        <v>75594780</v>
      </c>
      <c r="K20" s="4">
        <v>94195014.027622521</v>
      </c>
      <c r="L20" s="11">
        <v>8.1125789730828041E-2</v>
      </c>
      <c r="M20" s="6">
        <v>18600234.027622521</v>
      </c>
      <c r="N20" s="11">
        <v>1.2460518309283064</v>
      </c>
      <c r="O20" s="18">
        <v>75594779.840000004</v>
      </c>
      <c r="P20" s="11">
        <v>1.2460518335656352</v>
      </c>
    </row>
    <row r="21" spans="1:16" x14ac:dyDescent="0.3">
      <c r="A21" s="10" t="s">
        <v>425</v>
      </c>
      <c r="B21" s="3" t="s">
        <v>669</v>
      </c>
      <c r="C21" s="4">
        <v>31026443</v>
      </c>
      <c r="D21" s="4">
        <v>51230140.956795678</v>
      </c>
      <c r="E21" s="6">
        <v>20203697.956795678</v>
      </c>
      <c r="F21" s="11">
        <v>1.6511767383968468</v>
      </c>
      <c r="G21" s="18">
        <v>30729462.661080003</v>
      </c>
      <c r="H21" s="11">
        <v>1.6671342913418574</v>
      </c>
      <c r="J21" s="4">
        <v>32246556</v>
      </c>
      <c r="K21" s="4">
        <v>52104988.247999996</v>
      </c>
      <c r="L21" s="11">
        <v>1.7076808200510524E-2</v>
      </c>
      <c r="M21" s="6">
        <v>19858432.247999996</v>
      </c>
      <c r="N21" s="11">
        <v>1.6158311060567212</v>
      </c>
      <c r="O21" s="18">
        <v>32246555.756910007</v>
      </c>
      <c r="P21" s="11">
        <v>1.6158311182376304</v>
      </c>
    </row>
    <row r="22" spans="1:16" x14ac:dyDescent="0.3">
      <c r="A22" s="10" t="s">
        <v>11</v>
      </c>
      <c r="B22" s="3" t="s">
        <v>670</v>
      </c>
      <c r="C22" s="4">
        <v>26807294</v>
      </c>
      <c r="D22" s="4">
        <v>31246329.67466237</v>
      </c>
      <c r="E22" s="6">
        <v>4439035.6746623702</v>
      </c>
      <c r="F22" s="11">
        <v>1.1655905916748766</v>
      </c>
      <c r="G22" s="18">
        <v>24800115.190000001</v>
      </c>
      <c r="H22" s="11">
        <v>1.2599267961167226</v>
      </c>
      <c r="J22" s="4">
        <v>27179888</v>
      </c>
      <c r="K22" s="4">
        <v>33285038.436776489</v>
      </c>
      <c r="L22" s="11">
        <v>6.5246343597510803E-2</v>
      </c>
      <c r="M22" s="6">
        <v>6105150.436776489</v>
      </c>
      <c r="N22" s="11">
        <v>1.2246201469548545</v>
      </c>
      <c r="O22" s="18">
        <v>26384198.330000002</v>
      </c>
      <c r="P22" s="11">
        <v>1.2615520100502704</v>
      </c>
    </row>
    <row r="23" spans="1:16" x14ac:dyDescent="0.3">
      <c r="A23" s="10" t="s">
        <v>12</v>
      </c>
      <c r="B23" s="3" t="s">
        <v>671</v>
      </c>
      <c r="C23" s="4">
        <v>26105176</v>
      </c>
      <c r="D23" s="4">
        <v>38007489.208260693</v>
      </c>
      <c r="E23" s="6">
        <v>11902313.208260693</v>
      </c>
      <c r="F23" s="11">
        <v>1.4559369072348216</v>
      </c>
      <c r="G23" s="18">
        <v>24805882.760000002</v>
      </c>
      <c r="H23" s="11">
        <v>1.5321965993304039</v>
      </c>
      <c r="J23" s="4">
        <v>27269890</v>
      </c>
      <c r="K23" s="4">
        <v>39310513.25742951</v>
      </c>
      <c r="L23" s="11">
        <v>3.4283349842683462E-2</v>
      </c>
      <c r="M23" s="6">
        <v>12040623.25742951</v>
      </c>
      <c r="N23" s="11">
        <v>1.4415354538441303</v>
      </c>
      <c r="O23" s="18">
        <v>27015991.390000001</v>
      </c>
      <c r="P23" s="11">
        <v>1.4550831279869425</v>
      </c>
    </row>
    <row r="24" spans="1:16" x14ac:dyDescent="0.3">
      <c r="A24" s="10" t="s">
        <v>13</v>
      </c>
      <c r="B24" s="3" t="s">
        <v>672</v>
      </c>
      <c r="C24" s="4">
        <v>50716777</v>
      </c>
      <c r="D24" s="4">
        <v>71815400.356473505</v>
      </c>
      <c r="E24" s="6">
        <v>21098623.356473505</v>
      </c>
      <c r="F24" s="11">
        <v>1.4160087569538085</v>
      </c>
      <c r="G24" s="18">
        <v>50694465.246789992</v>
      </c>
      <c r="H24" s="11">
        <v>1.4166319736654269</v>
      </c>
      <c r="J24" s="4">
        <v>53845537</v>
      </c>
      <c r="K24" s="4">
        <v>73760782.412298724</v>
      </c>
      <c r="L24" s="11">
        <v>2.7088647367679266E-2</v>
      </c>
      <c r="M24" s="6">
        <v>19915245.412298724</v>
      </c>
      <c r="N24" s="11">
        <v>1.369858794653654</v>
      </c>
      <c r="O24" s="18">
        <v>53256083.380400002</v>
      </c>
      <c r="P24" s="11">
        <v>1.3850207850516685</v>
      </c>
    </row>
    <row r="25" spans="1:16" x14ac:dyDescent="0.3">
      <c r="A25" s="10" t="s">
        <v>14</v>
      </c>
      <c r="B25" s="3" t="s">
        <v>673</v>
      </c>
      <c r="C25" s="4">
        <v>8274710</v>
      </c>
      <c r="D25" s="4">
        <v>9744962.4000000004</v>
      </c>
      <c r="E25" s="6">
        <v>1470252.4000000004</v>
      </c>
      <c r="F25" s="11">
        <v>1.1776802329024221</v>
      </c>
      <c r="G25" s="18">
        <v>7950531.7800000003</v>
      </c>
      <c r="H25" s="11">
        <v>1.2256994462325135</v>
      </c>
      <c r="J25" s="4">
        <v>8640735</v>
      </c>
      <c r="K25" s="4">
        <v>10092366.335999999</v>
      </c>
      <c r="L25" s="11">
        <v>3.5649592244706742E-2</v>
      </c>
      <c r="M25" s="6">
        <v>1451631.3359999992</v>
      </c>
      <c r="N25" s="11">
        <v>1.1679985945640039</v>
      </c>
      <c r="O25" s="18">
        <v>8601441.5</v>
      </c>
      <c r="P25" s="11">
        <v>1.1733342993729596</v>
      </c>
    </row>
    <row r="26" spans="1:16" x14ac:dyDescent="0.3">
      <c r="A26" s="10" t="s">
        <v>15</v>
      </c>
      <c r="B26" s="3" t="s">
        <v>674</v>
      </c>
      <c r="C26" s="4">
        <v>53925726</v>
      </c>
      <c r="D26" s="4">
        <v>68964401.680000037</v>
      </c>
      <c r="E26" s="6">
        <v>15038675.680000037</v>
      </c>
      <c r="F26" s="11">
        <v>1.2788775746848551</v>
      </c>
      <c r="G26" s="18">
        <v>53925726.18999999</v>
      </c>
      <c r="H26" s="11">
        <v>1.2788775701789032</v>
      </c>
      <c r="J26" s="4">
        <v>58610573</v>
      </c>
      <c r="K26" s="4">
        <v>73094808.599999994</v>
      </c>
      <c r="L26" s="11">
        <v>5.989186912931331E-2</v>
      </c>
      <c r="M26" s="6">
        <v>14484235.599999994</v>
      </c>
      <c r="N26" s="11">
        <v>1.2471266677430366</v>
      </c>
      <c r="O26" s="18">
        <v>58610573.329999998</v>
      </c>
      <c r="P26" s="11">
        <v>1.2471266607212355</v>
      </c>
    </row>
    <row r="27" spans="1:16" x14ac:dyDescent="0.3">
      <c r="A27" s="10" t="s">
        <v>16</v>
      </c>
      <c r="B27" s="3" t="s">
        <v>675</v>
      </c>
      <c r="C27" s="4">
        <v>62592586</v>
      </c>
      <c r="D27" s="4">
        <v>83513914</v>
      </c>
      <c r="E27" s="6">
        <v>20921328</v>
      </c>
      <c r="F27" s="11">
        <v>1.3342461038436724</v>
      </c>
      <c r="G27" s="18">
        <v>52245953.957079992</v>
      </c>
      <c r="H27" s="11">
        <v>1.5984762010204008</v>
      </c>
      <c r="J27" s="4">
        <v>65975163</v>
      </c>
      <c r="K27" s="4">
        <v>85945347</v>
      </c>
      <c r="L27" s="11">
        <v>2.9114106662513746E-2</v>
      </c>
      <c r="M27" s="6">
        <v>19970184</v>
      </c>
      <c r="N27" s="11">
        <v>1.3026924541285332</v>
      </c>
      <c r="O27" s="18">
        <v>57705837.690000005</v>
      </c>
      <c r="P27" s="11">
        <v>1.4893700609928706</v>
      </c>
    </row>
    <row r="28" spans="1:16" x14ac:dyDescent="0.3">
      <c r="A28" s="10" t="s">
        <v>17</v>
      </c>
      <c r="B28" s="3" t="s">
        <v>676</v>
      </c>
      <c r="C28" s="4">
        <v>1012233521</v>
      </c>
      <c r="D28" s="4">
        <v>1376101437.0314486</v>
      </c>
      <c r="E28" s="6">
        <v>363867916.0314486</v>
      </c>
      <c r="F28" s="11">
        <v>1.3594703282222647</v>
      </c>
      <c r="G28" s="18">
        <v>978880394.48934996</v>
      </c>
      <c r="H28" s="11">
        <v>1.4057911924462598</v>
      </c>
      <c r="J28" s="4">
        <v>1054449081</v>
      </c>
      <c r="K28" s="4">
        <v>1452402816.2388039</v>
      </c>
      <c r="L28" s="11">
        <v>5.5447496204897515E-2</v>
      </c>
      <c r="M28" s="6">
        <v>397953735.23880386</v>
      </c>
      <c r="N28" s="11">
        <v>1.3774044118483175</v>
      </c>
      <c r="O28" s="18">
        <v>1012695285.9958402</v>
      </c>
      <c r="P28" s="11">
        <v>1.4341952967723894</v>
      </c>
    </row>
    <row r="29" spans="1:16" x14ac:dyDescent="0.3">
      <c r="A29" s="10" t="s">
        <v>18</v>
      </c>
      <c r="B29" s="3" t="s">
        <v>677</v>
      </c>
      <c r="C29" s="4">
        <v>22554090</v>
      </c>
      <c r="D29" s="4">
        <v>31796880.404999997</v>
      </c>
      <c r="E29" s="6">
        <v>9242790.4049999975</v>
      </c>
      <c r="F29" s="11">
        <v>1.409805512215301</v>
      </c>
      <c r="G29" s="18">
        <v>20951766.189999998</v>
      </c>
      <c r="H29" s="11">
        <v>1.5176229114362794</v>
      </c>
      <c r="J29" s="4">
        <v>23199623</v>
      </c>
      <c r="K29" s="4">
        <v>32611823.947999999</v>
      </c>
      <c r="L29" s="11">
        <v>2.5629669722940909E-2</v>
      </c>
      <c r="M29" s="6">
        <v>9412200.9479999989</v>
      </c>
      <c r="N29" s="11">
        <v>1.405704909428916</v>
      </c>
      <c r="O29" s="18">
        <v>21855345.039999999</v>
      </c>
      <c r="P29" s="11">
        <v>1.4921669682319507</v>
      </c>
    </row>
    <row r="30" spans="1:16" x14ac:dyDescent="0.3">
      <c r="A30" s="10" t="s">
        <v>19</v>
      </c>
      <c r="B30" s="3" t="s">
        <v>678</v>
      </c>
      <c r="C30" s="4">
        <v>7607183</v>
      </c>
      <c r="D30" s="4">
        <v>14082778.6</v>
      </c>
      <c r="E30" s="6">
        <v>6475595.5999999996</v>
      </c>
      <c r="F30" s="11">
        <v>1.8512475117267455</v>
      </c>
      <c r="G30" s="18">
        <v>7077684.451799999</v>
      </c>
      <c r="H30" s="11">
        <v>1.9897437779129108</v>
      </c>
      <c r="J30" s="4">
        <v>8111895</v>
      </c>
      <c r="K30" s="4">
        <v>14057803.424000001</v>
      </c>
      <c r="L30" s="11">
        <v>-1.773455133349824E-3</v>
      </c>
      <c r="M30" s="6">
        <v>5945908.4240000006</v>
      </c>
      <c r="N30" s="11">
        <v>1.7329863643451993</v>
      </c>
      <c r="O30" s="18">
        <v>8106140.9460000005</v>
      </c>
      <c r="P30" s="11">
        <v>1.7342165054429342</v>
      </c>
    </row>
    <row r="31" spans="1:16" x14ac:dyDescent="0.3">
      <c r="A31" s="10" t="s">
        <v>20</v>
      </c>
      <c r="B31" s="3" t="s">
        <v>679</v>
      </c>
      <c r="C31" s="4">
        <v>65492242</v>
      </c>
      <c r="D31" s="4">
        <v>79520857.510213599</v>
      </c>
      <c r="E31" s="6">
        <v>14028615.510213599</v>
      </c>
      <c r="F31" s="11">
        <v>1.2142027067910364</v>
      </c>
      <c r="G31" s="18">
        <v>63352380.463700004</v>
      </c>
      <c r="H31" s="11">
        <v>1.2552149884214359</v>
      </c>
      <c r="J31" s="4">
        <v>68308994</v>
      </c>
      <c r="K31" s="4">
        <v>85639805.961527959</v>
      </c>
      <c r="L31" s="11">
        <v>7.6947717151169381E-2</v>
      </c>
      <c r="M31" s="6">
        <v>17330811.961527959</v>
      </c>
      <c r="N31" s="11">
        <v>1.2537120069654073</v>
      </c>
      <c r="O31" s="18">
        <v>68308994.308569983</v>
      </c>
      <c r="P31" s="11">
        <v>1.2537120013020551</v>
      </c>
    </row>
    <row r="32" spans="1:16" x14ac:dyDescent="0.3">
      <c r="A32" s="10" t="s">
        <v>21</v>
      </c>
      <c r="B32" s="3" t="s">
        <v>680</v>
      </c>
      <c r="C32" s="4">
        <v>5063460</v>
      </c>
      <c r="D32" s="4">
        <v>9518534</v>
      </c>
      <c r="E32" s="6">
        <v>4455074</v>
      </c>
      <c r="F32" s="11">
        <v>1.8798477720768012</v>
      </c>
      <c r="G32" s="18">
        <v>4895214.0599999996</v>
      </c>
      <c r="H32" s="11">
        <v>1.9444571541371984</v>
      </c>
      <c r="J32" s="4">
        <v>5580575</v>
      </c>
      <c r="K32" s="4">
        <v>9967920.4000000004</v>
      </c>
      <c r="L32" s="11">
        <v>4.7211723990269967E-2</v>
      </c>
      <c r="M32" s="6">
        <v>4387345.4000000004</v>
      </c>
      <c r="N32" s="11">
        <v>1.7861816031502131</v>
      </c>
      <c r="O32" s="18">
        <v>5580574.6600000001</v>
      </c>
      <c r="P32" s="11">
        <v>1.7861817119744439</v>
      </c>
    </row>
    <row r="33" spans="1:16" x14ac:dyDescent="0.3">
      <c r="A33" s="10" t="s">
        <v>22</v>
      </c>
      <c r="B33" s="3" t="s">
        <v>681</v>
      </c>
      <c r="C33" s="4">
        <v>3128843</v>
      </c>
      <c r="D33" s="4">
        <v>4276453.9286392517</v>
      </c>
      <c r="E33" s="6">
        <v>1147610.9286392517</v>
      </c>
      <c r="F33" s="11">
        <v>1.3667844403312188</v>
      </c>
      <c r="G33" s="18">
        <v>2957057.94</v>
      </c>
      <c r="H33" s="11">
        <v>1.4461853691778701</v>
      </c>
      <c r="J33" s="4">
        <v>3156449</v>
      </c>
      <c r="K33" s="4">
        <v>4534745.8292437661</v>
      </c>
      <c r="L33" s="11">
        <v>6.0398616450593148E-2</v>
      </c>
      <c r="M33" s="6">
        <v>1378296.8292437661</v>
      </c>
      <c r="N33" s="11">
        <v>1.4366605730818924</v>
      </c>
      <c r="O33" s="18">
        <v>3134102.29</v>
      </c>
      <c r="P33" s="11">
        <v>1.4469042199780167</v>
      </c>
    </row>
    <row r="34" spans="1:16" x14ac:dyDescent="0.3">
      <c r="A34" s="10" t="s">
        <v>23</v>
      </c>
      <c r="B34" s="3" t="s">
        <v>682</v>
      </c>
      <c r="C34" s="4">
        <v>261944927</v>
      </c>
      <c r="D34" s="4">
        <v>265007695.07133302</v>
      </c>
      <c r="E34" s="6">
        <v>3062768.0713330209</v>
      </c>
      <c r="F34" s="11">
        <v>1.0116924122425666</v>
      </c>
      <c r="G34" s="18">
        <v>261944926.60000005</v>
      </c>
      <c r="H34" s="11">
        <v>1.0116924137874597</v>
      </c>
      <c r="J34" s="4">
        <v>276250953</v>
      </c>
      <c r="K34" s="4">
        <v>286476892.42245853</v>
      </c>
      <c r="L34" s="11">
        <v>8.1013486590819833E-2</v>
      </c>
      <c r="M34" s="6">
        <v>10225939.422458529</v>
      </c>
      <c r="N34" s="11">
        <v>1.0370168475851684</v>
      </c>
      <c r="O34" s="18">
        <v>276250953.13999999</v>
      </c>
      <c r="P34" s="11">
        <v>1.0370168470596233</v>
      </c>
    </row>
    <row r="35" spans="1:16" x14ac:dyDescent="0.3">
      <c r="A35" s="10" t="s">
        <v>24</v>
      </c>
      <c r="B35" s="3" t="s">
        <v>683</v>
      </c>
      <c r="C35" s="4">
        <v>2862210</v>
      </c>
      <c r="D35" s="4">
        <v>3545680.4041178911</v>
      </c>
      <c r="E35" s="6">
        <v>683470.4041178911</v>
      </c>
      <c r="F35" s="11">
        <v>1.2387911453449925</v>
      </c>
      <c r="G35" s="18">
        <v>2739833.1099999994</v>
      </c>
      <c r="H35" s="11">
        <v>1.2941227665205826</v>
      </c>
      <c r="J35" s="4">
        <v>2961396</v>
      </c>
      <c r="K35" s="4">
        <v>3742913.4063621252</v>
      </c>
      <c r="L35" s="11">
        <v>5.5626277544691037E-2</v>
      </c>
      <c r="M35" s="6">
        <v>781517.40636212518</v>
      </c>
      <c r="N35" s="11">
        <v>1.2639016890554742</v>
      </c>
      <c r="O35" s="18">
        <v>2950079.4100000006</v>
      </c>
      <c r="P35" s="11">
        <v>1.2687500525154083</v>
      </c>
    </row>
    <row r="36" spans="1:16" x14ac:dyDescent="0.3">
      <c r="A36" s="10" t="s">
        <v>25</v>
      </c>
      <c r="B36" s="3" t="s">
        <v>684</v>
      </c>
      <c r="C36" s="4">
        <v>79086353</v>
      </c>
      <c r="D36" s="4">
        <v>162525759.24914342</v>
      </c>
      <c r="E36" s="6">
        <v>83439406.249143422</v>
      </c>
      <c r="F36" s="11">
        <v>2.055041775022088</v>
      </c>
      <c r="G36" s="18">
        <v>77422819.851260006</v>
      </c>
      <c r="H36" s="11">
        <v>2.0991971044373994</v>
      </c>
      <c r="J36" s="4">
        <v>83480952</v>
      </c>
      <c r="K36" s="4">
        <v>169812774.264</v>
      </c>
      <c r="L36" s="11">
        <v>4.4836061978864326E-2</v>
      </c>
      <c r="M36" s="6">
        <v>86331822.263999999</v>
      </c>
      <c r="N36" s="11">
        <v>2.0341499491285151</v>
      </c>
      <c r="O36" s="18">
        <v>82255132.52319999</v>
      </c>
      <c r="P36" s="11">
        <v>2.0644641745134193</v>
      </c>
    </row>
    <row r="37" spans="1:16" x14ac:dyDescent="0.3">
      <c r="A37" s="10" t="s">
        <v>26</v>
      </c>
      <c r="B37" s="3" t="s">
        <v>685</v>
      </c>
      <c r="C37" s="4">
        <v>40182108</v>
      </c>
      <c r="D37" s="4">
        <v>79159210.242484927</v>
      </c>
      <c r="E37" s="6">
        <v>38977102.242484927</v>
      </c>
      <c r="F37" s="11">
        <v>1.970011385228593</v>
      </c>
      <c r="G37" s="18">
        <v>40093789.187169999</v>
      </c>
      <c r="H37" s="11">
        <v>1.9743509368232985</v>
      </c>
      <c r="J37" s="4">
        <v>44168133</v>
      </c>
      <c r="K37" s="4">
        <v>83839521.246914253</v>
      </c>
      <c r="L37" s="11">
        <v>5.9125286749227721E-2</v>
      </c>
      <c r="M37" s="6">
        <v>39671388.246914253</v>
      </c>
      <c r="N37" s="11">
        <v>1.8981902913332165</v>
      </c>
      <c r="O37" s="18">
        <v>44168133.059200004</v>
      </c>
      <c r="P37" s="11">
        <v>1.8981902887890094</v>
      </c>
    </row>
    <row r="38" spans="1:16" x14ac:dyDescent="0.3">
      <c r="A38" s="10" t="s">
        <v>27</v>
      </c>
      <c r="B38" s="3" t="s">
        <v>686</v>
      </c>
      <c r="C38" s="4">
        <v>100848387</v>
      </c>
      <c r="D38" s="4">
        <v>235834897.78316706</v>
      </c>
      <c r="E38" s="6">
        <v>134986510.78316706</v>
      </c>
      <c r="F38" s="11">
        <v>2.3385093683567497</v>
      </c>
      <c r="G38" s="18">
        <v>100848386.94927999</v>
      </c>
      <c r="H38" s="11">
        <v>2.338509369532864</v>
      </c>
      <c r="J38" s="4">
        <v>105936292</v>
      </c>
      <c r="K38" s="4">
        <v>248559665.99594232</v>
      </c>
      <c r="L38" s="11">
        <v>5.3956256399656143E-2</v>
      </c>
      <c r="M38" s="6">
        <v>142623373.99594232</v>
      </c>
      <c r="N38" s="11">
        <v>2.346312687590975</v>
      </c>
      <c r="O38" s="18">
        <v>105936291.71016</v>
      </c>
      <c r="P38" s="11">
        <v>2.3463126940104493</v>
      </c>
    </row>
    <row r="39" spans="1:16" x14ac:dyDescent="0.3">
      <c r="A39" s="10" t="s">
        <v>28</v>
      </c>
      <c r="B39" s="3" t="s">
        <v>687</v>
      </c>
      <c r="C39" s="4">
        <v>37479187</v>
      </c>
      <c r="D39" s="4">
        <v>57047112.980000012</v>
      </c>
      <c r="E39" s="6">
        <v>19567925.980000012</v>
      </c>
      <c r="F39" s="11">
        <v>1.5221011325565843</v>
      </c>
      <c r="G39" s="18">
        <v>37413396.475199997</v>
      </c>
      <c r="H39" s="11">
        <v>1.5247777094446504</v>
      </c>
      <c r="J39" s="4">
        <v>40961226</v>
      </c>
      <c r="K39" s="4">
        <v>61357269.424000002</v>
      </c>
      <c r="L39" s="11">
        <v>7.555433077763421E-2</v>
      </c>
      <c r="M39" s="6">
        <v>20396043.424000002</v>
      </c>
      <c r="N39" s="11">
        <v>1.4979353748835547</v>
      </c>
      <c r="O39" s="18">
        <v>40961226.355149999</v>
      </c>
      <c r="P39" s="11">
        <v>1.4979353618958637</v>
      </c>
    </row>
    <row r="40" spans="1:16" x14ac:dyDescent="0.3">
      <c r="A40" s="10" t="s">
        <v>29</v>
      </c>
      <c r="B40" s="3" t="s">
        <v>688</v>
      </c>
      <c r="C40" s="4">
        <v>5795093</v>
      </c>
      <c r="D40" s="4">
        <v>12710891</v>
      </c>
      <c r="E40" s="6">
        <v>6915798</v>
      </c>
      <c r="F40" s="11">
        <v>2.1933886134355394</v>
      </c>
      <c r="G40" s="18">
        <v>5777297.3325199997</v>
      </c>
      <c r="H40" s="11">
        <v>2.2001448546626277</v>
      </c>
      <c r="J40" s="4">
        <v>6420143</v>
      </c>
      <c r="K40" s="4">
        <v>13144367</v>
      </c>
      <c r="L40" s="11">
        <v>3.410272340467714E-2</v>
      </c>
      <c r="M40" s="6">
        <v>6724224</v>
      </c>
      <c r="N40" s="11">
        <v>2.0473635867612296</v>
      </c>
      <c r="O40" s="18">
        <v>6420143.4459200008</v>
      </c>
      <c r="P40" s="11">
        <v>2.0473634445587412</v>
      </c>
    </row>
    <row r="41" spans="1:16" x14ac:dyDescent="0.3">
      <c r="A41" s="10" t="s">
        <v>30</v>
      </c>
      <c r="B41" s="3" t="s">
        <v>689</v>
      </c>
      <c r="C41" s="4">
        <v>19649054</v>
      </c>
      <c r="D41" s="4">
        <v>24372657.798604753</v>
      </c>
      <c r="E41" s="6">
        <v>4723603.7986047529</v>
      </c>
      <c r="F41" s="11">
        <v>1.2403985351460052</v>
      </c>
      <c r="G41" s="18">
        <v>17600656.3972</v>
      </c>
      <c r="H41" s="11">
        <v>1.3847584572176568</v>
      </c>
      <c r="J41" s="4">
        <v>20396537</v>
      </c>
      <c r="K41" s="4">
        <v>28308814.874865063</v>
      </c>
      <c r="L41" s="11">
        <v>0.16149888570977436</v>
      </c>
      <c r="M41" s="6">
        <v>7912277.8748650625</v>
      </c>
      <c r="N41" s="11">
        <v>1.3879226103365028</v>
      </c>
      <c r="O41" s="18">
        <v>19740695.12156</v>
      </c>
      <c r="P41" s="11">
        <v>1.4340333357333148</v>
      </c>
    </row>
    <row r="42" spans="1:16" x14ac:dyDescent="0.3">
      <c r="A42" s="10" t="s">
        <v>426</v>
      </c>
      <c r="B42" s="3" t="s">
        <v>690</v>
      </c>
      <c r="C42" s="4">
        <v>56199122</v>
      </c>
      <c r="D42" s="4">
        <v>74757505</v>
      </c>
      <c r="E42" s="6">
        <v>18558383</v>
      </c>
      <c r="F42" s="11">
        <v>1.330225497117197</v>
      </c>
      <c r="G42" s="18">
        <v>54364865.709999993</v>
      </c>
      <c r="H42" s="11">
        <v>1.3751069560031846</v>
      </c>
      <c r="J42" s="4">
        <v>59337599</v>
      </c>
      <c r="K42" s="4">
        <v>80204353.239999995</v>
      </c>
      <c r="L42" s="11">
        <v>7.2860219719745795E-2</v>
      </c>
      <c r="M42" s="6">
        <v>20866754.239999995</v>
      </c>
      <c r="N42" s="11">
        <v>1.3516615871161217</v>
      </c>
      <c r="O42" s="18">
        <v>59337599.049999997</v>
      </c>
      <c r="P42" s="11">
        <v>1.351661585977163</v>
      </c>
    </row>
    <row r="43" spans="1:16" x14ac:dyDescent="0.3">
      <c r="A43" s="10" t="s">
        <v>31</v>
      </c>
      <c r="B43" s="3" t="s">
        <v>691</v>
      </c>
      <c r="C43" s="4">
        <v>114110343</v>
      </c>
      <c r="D43" s="4">
        <v>117026551.21817431</v>
      </c>
      <c r="E43" s="6">
        <v>2916208.2181743085</v>
      </c>
      <c r="F43" s="11">
        <v>1.0255560376168031</v>
      </c>
      <c r="G43" s="18">
        <v>114106347.65687999</v>
      </c>
      <c r="H43" s="11">
        <v>1.0255919466467844</v>
      </c>
      <c r="J43" s="4">
        <v>125093688</v>
      </c>
      <c r="K43" s="4">
        <v>128177277.59200001</v>
      </c>
      <c r="L43" s="11">
        <v>9.5283730553054044E-2</v>
      </c>
      <c r="M43" s="6">
        <v>3083589.5920000076</v>
      </c>
      <c r="N43" s="11">
        <v>1.0246502412815586</v>
      </c>
      <c r="O43" s="18">
        <v>125093687.61760001</v>
      </c>
      <c r="P43" s="11">
        <v>1.0246502444138208</v>
      </c>
    </row>
    <row r="44" spans="1:16" x14ac:dyDescent="0.3">
      <c r="A44" s="10" t="s">
        <v>32</v>
      </c>
      <c r="B44" s="3" t="s">
        <v>692</v>
      </c>
      <c r="C44" s="4">
        <v>103803922</v>
      </c>
      <c r="D44" s="4">
        <v>105632448.96869838</v>
      </c>
      <c r="E44" s="6">
        <v>1828526.9686983824</v>
      </c>
      <c r="F44" s="11">
        <v>1.017615201174175</v>
      </c>
      <c r="G44" s="18">
        <v>103803922.04000001</v>
      </c>
      <c r="H44" s="11">
        <v>1.0176152007820454</v>
      </c>
      <c r="J44" s="4">
        <v>112893440</v>
      </c>
      <c r="K44" s="4">
        <v>117933071.54065682</v>
      </c>
      <c r="L44" s="11">
        <v>0.1164473861209393</v>
      </c>
      <c r="M44" s="6">
        <v>5039631.5406568199</v>
      </c>
      <c r="N44" s="11">
        <v>1.0446406056955728</v>
      </c>
      <c r="O44" s="18">
        <v>112893440.48</v>
      </c>
      <c r="P44" s="11">
        <v>1.0446406012539731</v>
      </c>
    </row>
    <row r="45" spans="1:16" x14ac:dyDescent="0.3">
      <c r="A45" s="10" t="s">
        <v>33</v>
      </c>
      <c r="B45" s="3" t="s">
        <v>693</v>
      </c>
      <c r="C45" s="4">
        <v>2541177</v>
      </c>
      <c r="D45" s="4">
        <v>3121739.85</v>
      </c>
      <c r="E45" s="6">
        <v>580562.85000000009</v>
      </c>
      <c r="F45" s="11">
        <v>1.2284621850426003</v>
      </c>
      <c r="G45" s="18">
        <v>2139256.1799999997</v>
      </c>
      <c r="H45" s="11">
        <v>1.4592641494671295</v>
      </c>
      <c r="J45" s="4">
        <v>2578300</v>
      </c>
      <c r="K45" s="4">
        <v>3078603.7139999997</v>
      </c>
      <c r="L45" s="11">
        <v>-1.3817979099059265E-2</v>
      </c>
      <c r="M45" s="6">
        <v>500303.71399999969</v>
      </c>
      <c r="N45" s="11">
        <v>1.1940440266842491</v>
      </c>
      <c r="O45" s="18">
        <v>2565630.8000000003</v>
      </c>
      <c r="P45" s="11">
        <v>1.1999402696599992</v>
      </c>
    </row>
    <row r="46" spans="1:16" x14ac:dyDescent="0.3">
      <c r="A46" s="10" t="s">
        <v>427</v>
      </c>
      <c r="B46" s="3" t="s">
        <v>694</v>
      </c>
      <c r="C46" s="4">
        <v>26864609</v>
      </c>
      <c r="D46" s="4">
        <v>30928012.074309222</v>
      </c>
      <c r="E46" s="6">
        <v>4063403.0743092224</v>
      </c>
      <c r="F46" s="11">
        <v>1.1512548749289158</v>
      </c>
      <c r="G46" s="18">
        <v>26864608.990000002</v>
      </c>
      <c r="H46" s="11">
        <v>1.1512548753574552</v>
      </c>
      <c r="J46" s="4">
        <v>29918746</v>
      </c>
      <c r="K46" s="4">
        <v>33076040.871831782</v>
      </c>
      <c r="L46" s="11">
        <v>6.9452533591929419E-2</v>
      </c>
      <c r="M46" s="6">
        <v>3157294.8718317822</v>
      </c>
      <c r="N46" s="11">
        <v>1.1055289841302769</v>
      </c>
      <c r="O46" s="18">
        <v>29918745.999999996</v>
      </c>
      <c r="P46" s="11">
        <v>1.1055289841302769</v>
      </c>
    </row>
    <row r="47" spans="1:16" x14ac:dyDescent="0.3">
      <c r="A47" s="10" t="s">
        <v>34</v>
      </c>
      <c r="B47" s="3" t="s">
        <v>695</v>
      </c>
      <c r="C47" s="4">
        <v>15483664</v>
      </c>
      <c r="D47" s="4">
        <v>26863759.658829316</v>
      </c>
      <c r="E47" s="6">
        <v>11380095.658829316</v>
      </c>
      <c r="F47" s="11">
        <v>1.7349743354563441</v>
      </c>
      <c r="G47" s="18">
        <v>15385213.724099997</v>
      </c>
      <c r="H47" s="11">
        <v>1.7460764693017476</v>
      </c>
      <c r="J47" s="4">
        <v>16000701</v>
      </c>
      <c r="K47" s="4">
        <v>28279257.645250723</v>
      </c>
      <c r="L47" s="11">
        <v>5.2691730584187767E-2</v>
      </c>
      <c r="M47" s="6">
        <v>12278556.645250723</v>
      </c>
      <c r="N47" s="11">
        <v>1.767376169659737</v>
      </c>
      <c r="O47" s="18">
        <v>15911489.32886</v>
      </c>
      <c r="P47" s="11">
        <v>1.7772853980399099</v>
      </c>
    </row>
    <row r="48" spans="1:16" x14ac:dyDescent="0.3">
      <c r="A48" s="10" t="s">
        <v>35</v>
      </c>
      <c r="B48" s="3" t="s">
        <v>696</v>
      </c>
      <c r="C48" s="4">
        <v>21318091</v>
      </c>
      <c r="D48" s="4">
        <v>44273389.75</v>
      </c>
      <c r="E48" s="6">
        <v>22955298.75</v>
      </c>
      <c r="F48" s="11">
        <v>2.0767989849560169</v>
      </c>
      <c r="G48" s="18">
        <v>21236752.310529996</v>
      </c>
      <c r="H48" s="11">
        <v>2.0847533136244922</v>
      </c>
      <c r="J48" s="4">
        <v>22343913</v>
      </c>
      <c r="K48" s="4">
        <v>45648691.855999999</v>
      </c>
      <c r="L48" s="11">
        <v>3.1063853790413661E-2</v>
      </c>
      <c r="M48" s="6">
        <v>23304778.855999999</v>
      </c>
      <c r="N48" s="11">
        <v>2.0430034728473925</v>
      </c>
      <c r="O48" s="18">
        <v>22336390.42678</v>
      </c>
      <c r="P48" s="11">
        <v>2.0436915268668452</v>
      </c>
    </row>
    <row r="49" spans="1:16" x14ac:dyDescent="0.3">
      <c r="A49" s="10" t="s">
        <v>36</v>
      </c>
      <c r="B49" s="3" t="s">
        <v>697</v>
      </c>
      <c r="C49" s="4">
        <v>1392772</v>
      </c>
      <c r="D49" s="4">
        <v>2336119.08</v>
      </c>
      <c r="E49" s="6">
        <v>943347.08000000007</v>
      </c>
      <c r="F49" s="11">
        <v>1.677316229792098</v>
      </c>
      <c r="G49" s="18">
        <v>926021.78</v>
      </c>
      <c r="H49" s="11">
        <v>2.5227474455298449</v>
      </c>
      <c r="J49" s="4">
        <v>1443910</v>
      </c>
      <c r="K49" s="4">
        <v>2395544.4</v>
      </c>
      <c r="L49" s="11">
        <v>2.5437624523831991E-2</v>
      </c>
      <c r="M49" s="6">
        <v>951634.39999999991</v>
      </c>
      <c r="N49" s="11">
        <v>1.6590676704226717</v>
      </c>
      <c r="O49" s="18">
        <v>1051296.6600000004</v>
      </c>
      <c r="P49" s="11">
        <v>2.2786569111710095</v>
      </c>
    </row>
    <row r="50" spans="1:16" x14ac:dyDescent="0.3">
      <c r="A50" s="10" t="s">
        <v>37</v>
      </c>
      <c r="B50" s="3" t="s">
        <v>698</v>
      </c>
      <c r="C50" s="4">
        <v>38127292</v>
      </c>
      <c r="D50" s="4">
        <v>56254881.344768867</v>
      </c>
      <c r="E50" s="6">
        <v>18127589.344768867</v>
      </c>
      <c r="F50" s="11">
        <v>1.4754491702366082</v>
      </c>
      <c r="G50" s="18">
        <v>37556776.830000006</v>
      </c>
      <c r="H50" s="11">
        <v>1.4978623325267089</v>
      </c>
      <c r="J50" s="4">
        <v>39586571</v>
      </c>
      <c r="K50" s="4">
        <v>58585692.532354012</v>
      </c>
      <c r="L50" s="11">
        <v>4.1433047797227056E-2</v>
      </c>
      <c r="M50" s="6">
        <v>18999121.532354012</v>
      </c>
      <c r="N50" s="11">
        <v>1.4799385511908574</v>
      </c>
      <c r="O50" s="18">
        <v>39586571.120000005</v>
      </c>
      <c r="P50" s="11">
        <v>1.4799385467046737</v>
      </c>
    </row>
    <row r="51" spans="1:16" x14ac:dyDescent="0.3">
      <c r="A51" s="10" t="s">
        <v>38</v>
      </c>
      <c r="B51" s="3" t="s">
        <v>699</v>
      </c>
      <c r="C51" s="4">
        <v>41739938</v>
      </c>
      <c r="D51" s="4">
        <v>50222422.255159579</v>
      </c>
      <c r="E51" s="6">
        <v>8482484.2551595792</v>
      </c>
      <c r="F51" s="11">
        <v>1.2032222533526422</v>
      </c>
      <c r="G51" s="18">
        <v>38413025.859999999</v>
      </c>
      <c r="H51" s="11">
        <v>1.3074320788526286</v>
      </c>
      <c r="J51" s="4">
        <v>43287689</v>
      </c>
      <c r="K51" s="4">
        <v>53132596.827726834</v>
      </c>
      <c r="L51" s="11">
        <v>5.7945723083244534E-2</v>
      </c>
      <c r="M51" s="6">
        <v>9844907.8277268335</v>
      </c>
      <c r="N51" s="11">
        <v>1.2274297393821794</v>
      </c>
      <c r="O51" s="18">
        <v>42137530.870000005</v>
      </c>
      <c r="P51" s="11">
        <v>1.2609328484777169</v>
      </c>
    </row>
    <row r="52" spans="1:16" x14ac:dyDescent="0.3">
      <c r="A52" s="10" t="s">
        <v>39</v>
      </c>
      <c r="B52" s="3" t="s">
        <v>700</v>
      </c>
      <c r="C52" s="4">
        <v>31443810</v>
      </c>
      <c r="D52" s="4">
        <v>54895725.735886686</v>
      </c>
      <c r="E52" s="6">
        <v>23451915.735886686</v>
      </c>
      <c r="F52" s="11">
        <v>1.7458356902642105</v>
      </c>
      <c r="G52" s="18">
        <v>30666508.900769994</v>
      </c>
      <c r="H52" s="11">
        <v>1.7900872223022533</v>
      </c>
      <c r="J52" s="4">
        <v>33049835</v>
      </c>
      <c r="K52" s="4">
        <v>58713637.133196451</v>
      </c>
      <c r="L52" s="11">
        <v>6.9548427425450768E-2</v>
      </c>
      <c r="M52" s="6">
        <v>25663802.133196451</v>
      </c>
      <c r="N52" s="11">
        <v>1.776518313425663</v>
      </c>
      <c r="O52" s="18">
        <v>33049835.113800008</v>
      </c>
      <c r="P52" s="11">
        <v>1.7765183073086039</v>
      </c>
    </row>
    <row r="53" spans="1:16" x14ac:dyDescent="0.3">
      <c r="A53" s="10" t="s">
        <v>428</v>
      </c>
      <c r="B53" s="3" t="s">
        <v>701</v>
      </c>
      <c r="C53" s="4">
        <v>3759310</v>
      </c>
      <c r="D53" s="4">
        <v>6010116.8400000017</v>
      </c>
      <c r="E53" s="6">
        <v>2250806.8400000017</v>
      </c>
      <c r="F53" s="11">
        <v>1.5987287135139165</v>
      </c>
      <c r="G53" s="18">
        <v>3195342.38</v>
      </c>
      <c r="H53" s="11">
        <v>1.8808991730019247</v>
      </c>
      <c r="J53" s="4">
        <v>3871482</v>
      </c>
      <c r="K53" s="4">
        <v>6419543.4160000002</v>
      </c>
      <c r="L53" s="11">
        <v>6.8122897923561562E-2</v>
      </c>
      <c r="M53" s="6">
        <v>2548061.4160000002</v>
      </c>
      <c r="N53" s="11">
        <v>1.6581617623432061</v>
      </c>
      <c r="O53" s="18">
        <v>3310653.2399999988</v>
      </c>
      <c r="P53" s="11">
        <v>1.9390564189682404</v>
      </c>
    </row>
    <row r="54" spans="1:16" x14ac:dyDescent="0.3">
      <c r="A54" s="10" t="s">
        <v>40</v>
      </c>
      <c r="B54" s="3" t="s">
        <v>702</v>
      </c>
      <c r="C54" s="4">
        <v>16284767</v>
      </c>
      <c r="D54" s="4">
        <v>17509730.679999996</v>
      </c>
      <c r="E54" s="6">
        <v>1224963.679999996</v>
      </c>
      <c r="F54" s="11">
        <v>1.0752214434508025</v>
      </c>
      <c r="G54" s="18">
        <v>12319421.250000002</v>
      </c>
      <c r="H54" s="11">
        <v>1.4213111415440878</v>
      </c>
      <c r="J54" s="4">
        <v>16804982</v>
      </c>
      <c r="K54" s="4">
        <v>18271437.155999999</v>
      </c>
      <c r="L54" s="11">
        <v>4.3501895598545191E-2</v>
      </c>
      <c r="M54" s="6">
        <v>1466455.1559999995</v>
      </c>
      <c r="N54" s="11">
        <v>1.0872631197105715</v>
      </c>
      <c r="O54" s="18">
        <v>13450769.330000004</v>
      </c>
      <c r="P54" s="11">
        <v>1.358393464918634</v>
      </c>
    </row>
    <row r="55" spans="1:16" x14ac:dyDescent="0.3">
      <c r="A55" s="10" t="s">
        <v>41</v>
      </c>
      <c r="B55" s="3" t="s">
        <v>703</v>
      </c>
      <c r="C55" s="4">
        <v>4997331</v>
      </c>
      <c r="D55" s="4">
        <v>11052126.370000001</v>
      </c>
      <c r="E55" s="6">
        <v>6054795.370000001</v>
      </c>
      <c r="F55" s="11">
        <v>2.2116058291916225</v>
      </c>
      <c r="G55" s="18">
        <v>4983017.6314199995</v>
      </c>
      <c r="H55" s="11">
        <v>2.2179585117884684</v>
      </c>
      <c r="J55" s="4">
        <v>5377259</v>
      </c>
      <c r="K55" s="4">
        <v>12293610.4</v>
      </c>
      <c r="L55" s="11">
        <v>0.11232988010071036</v>
      </c>
      <c r="M55" s="6">
        <v>6916351.4000000004</v>
      </c>
      <c r="N55" s="11">
        <v>2.2862224787758967</v>
      </c>
      <c r="O55" s="18">
        <v>5377259.1472499995</v>
      </c>
      <c r="P55" s="11">
        <v>2.2862224161703484</v>
      </c>
    </row>
    <row r="56" spans="1:16" x14ac:dyDescent="0.3">
      <c r="A56" s="10" t="s">
        <v>42</v>
      </c>
      <c r="B56" s="3" t="s">
        <v>704</v>
      </c>
      <c r="C56" s="4">
        <v>46058563</v>
      </c>
      <c r="D56" s="4">
        <v>46662523.400000006</v>
      </c>
      <c r="E56" s="6">
        <v>603960.40000000596</v>
      </c>
      <c r="F56" s="11">
        <v>1.0131128797917557</v>
      </c>
      <c r="G56" s="18">
        <v>46058563.059999995</v>
      </c>
      <c r="H56" s="11">
        <v>1.0131128784719845</v>
      </c>
      <c r="J56" s="4">
        <v>50418701</v>
      </c>
      <c r="K56" s="4">
        <v>51233364.69600001</v>
      </c>
      <c r="L56" s="11">
        <v>9.7955296090995445E-2</v>
      </c>
      <c r="M56" s="6">
        <v>814663.69600000978</v>
      </c>
      <c r="N56" s="11">
        <v>1.0161579667830001</v>
      </c>
      <c r="O56" s="18">
        <v>50418700.75</v>
      </c>
      <c r="P56" s="11">
        <v>1.0161579718215965</v>
      </c>
    </row>
    <row r="57" spans="1:16" x14ac:dyDescent="0.3">
      <c r="A57" s="10" t="s">
        <v>429</v>
      </c>
      <c r="B57" s="3" t="s">
        <v>705</v>
      </c>
      <c r="C57" s="4">
        <v>30133087</v>
      </c>
      <c r="D57" s="4">
        <v>44981460.280000001</v>
      </c>
      <c r="E57" s="6">
        <v>14848373.280000001</v>
      </c>
      <c r="F57" s="11">
        <v>1.4927597786446507</v>
      </c>
      <c r="G57" s="18">
        <v>29901986.556480002</v>
      </c>
      <c r="H57" s="11">
        <v>1.5042967193847578</v>
      </c>
      <c r="J57" s="4">
        <v>31970863</v>
      </c>
      <c r="K57" s="4">
        <v>47027599.539999992</v>
      </c>
      <c r="L57" s="11">
        <v>4.5488502313246609E-2</v>
      </c>
      <c r="M57" s="6">
        <v>15056736.539999992</v>
      </c>
      <c r="N57" s="11">
        <v>1.4709518332364062</v>
      </c>
      <c r="O57" s="18">
        <v>31970862.733219996</v>
      </c>
      <c r="P57" s="11">
        <v>1.4709518455107242</v>
      </c>
    </row>
    <row r="58" spans="1:16" x14ac:dyDescent="0.3">
      <c r="A58" s="10" t="s">
        <v>43</v>
      </c>
      <c r="B58" s="3" t="s">
        <v>706</v>
      </c>
      <c r="C58" s="4">
        <v>23955862</v>
      </c>
      <c r="D58" s="4">
        <v>28002653.430858254</v>
      </c>
      <c r="E58" s="6">
        <v>4046791.4308582544</v>
      </c>
      <c r="F58" s="11">
        <v>1.1689269804133224</v>
      </c>
      <c r="G58" s="18">
        <v>23394636.07</v>
      </c>
      <c r="H58" s="11">
        <v>1.1969689695992887</v>
      </c>
      <c r="J58" s="4">
        <v>25682683</v>
      </c>
      <c r="K58" s="4">
        <v>30112107.121235337</v>
      </c>
      <c r="L58" s="11">
        <v>7.5330493075792426E-2</v>
      </c>
      <c r="M58" s="6">
        <v>4429424.1212353371</v>
      </c>
      <c r="N58" s="11">
        <v>1.1724673438999864</v>
      </c>
      <c r="O58" s="18">
        <v>25682682.969999995</v>
      </c>
      <c r="P58" s="11">
        <v>1.1724673452695484</v>
      </c>
    </row>
    <row r="59" spans="1:16" x14ac:dyDescent="0.3">
      <c r="A59" s="10" t="s">
        <v>44</v>
      </c>
      <c r="B59" s="3" t="s">
        <v>707</v>
      </c>
      <c r="C59" s="4">
        <v>2320434</v>
      </c>
      <c r="D59" s="4">
        <v>4658399</v>
      </c>
      <c r="E59" s="6">
        <v>2337965</v>
      </c>
      <c r="F59" s="11">
        <v>2.0075550522014418</v>
      </c>
      <c r="G59" s="18">
        <v>2320433.8899999997</v>
      </c>
      <c r="H59" s="11">
        <v>2.0075551473694433</v>
      </c>
      <c r="J59" s="4">
        <v>2709776</v>
      </c>
      <c r="K59" s="4">
        <v>4689576.2</v>
      </c>
      <c r="L59" s="11">
        <v>6.6926856201025686E-3</v>
      </c>
      <c r="M59" s="6">
        <v>1979800.2000000002</v>
      </c>
      <c r="N59" s="11">
        <v>1.7306139695679643</v>
      </c>
      <c r="O59" s="18">
        <v>2709776.2300000004</v>
      </c>
      <c r="P59" s="11">
        <v>1.7306138226771586</v>
      </c>
    </row>
    <row r="60" spans="1:16" x14ac:dyDescent="0.3">
      <c r="A60" s="10" t="s">
        <v>45</v>
      </c>
      <c r="B60" s="3" t="s">
        <v>708</v>
      </c>
      <c r="C60" s="4">
        <v>21054596</v>
      </c>
      <c r="D60" s="4">
        <v>22685383.524542369</v>
      </c>
      <c r="E60" s="6">
        <v>1630787.5245423689</v>
      </c>
      <c r="F60" s="11">
        <v>1.07745518007291</v>
      </c>
      <c r="G60" s="18">
        <v>19817458.09</v>
      </c>
      <c r="H60" s="11">
        <v>1.1447171186898859</v>
      </c>
      <c r="J60" s="4">
        <v>21391869</v>
      </c>
      <c r="K60" s="4">
        <v>23740716.028586142</v>
      </c>
      <c r="L60" s="11">
        <v>4.6520373036764075E-2</v>
      </c>
      <c r="M60" s="6">
        <v>2348847.0285861418</v>
      </c>
      <c r="N60" s="11">
        <v>1.1098009261643358</v>
      </c>
      <c r="O60" s="18">
        <v>21391869.32</v>
      </c>
      <c r="P60" s="11">
        <v>1.109800909562874</v>
      </c>
    </row>
    <row r="61" spans="1:16" x14ac:dyDescent="0.3">
      <c r="A61" s="10" t="s">
        <v>46</v>
      </c>
      <c r="B61" s="3" t="s">
        <v>709</v>
      </c>
      <c r="C61" s="4">
        <v>29366036</v>
      </c>
      <c r="D61" s="4">
        <v>39786172.935943171</v>
      </c>
      <c r="E61" s="6">
        <v>10420136.935943171</v>
      </c>
      <c r="F61" s="11">
        <v>1.3548363468580904</v>
      </c>
      <c r="G61" s="18">
        <v>27993088.180000003</v>
      </c>
      <c r="H61" s="11">
        <v>1.4212855930761108</v>
      </c>
      <c r="J61" s="4">
        <v>31009727</v>
      </c>
      <c r="K61" s="4">
        <v>43832200.308406755</v>
      </c>
      <c r="L61" s="11">
        <v>0.10169430920078186</v>
      </c>
      <c r="M61" s="6">
        <v>12822473.308406755</v>
      </c>
      <c r="N61" s="11">
        <v>1.4134984261037433</v>
      </c>
      <c r="O61" s="18">
        <v>31009727.380000003</v>
      </c>
      <c r="P61" s="11">
        <v>1.4134984087824236</v>
      </c>
    </row>
    <row r="62" spans="1:16" x14ac:dyDescent="0.3">
      <c r="A62" s="10" t="s">
        <v>47</v>
      </c>
      <c r="B62" s="3" t="s">
        <v>710</v>
      </c>
      <c r="C62" s="4">
        <v>40413003</v>
      </c>
      <c r="D62" s="4">
        <v>50465760.828055173</v>
      </c>
      <c r="E62" s="6">
        <v>10052757.828055173</v>
      </c>
      <c r="F62" s="11">
        <v>1.2487505773341114</v>
      </c>
      <c r="G62" s="18">
        <v>37338104.880000003</v>
      </c>
      <c r="H62" s="11">
        <v>1.3515887051644913</v>
      </c>
      <c r="J62" s="4">
        <v>42014540</v>
      </c>
      <c r="K62" s="4">
        <v>53362296.101634935</v>
      </c>
      <c r="L62" s="11">
        <v>5.7396048846835288E-2</v>
      </c>
      <c r="M62" s="6">
        <v>11347756.101634935</v>
      </c>
      <c r="N62" s="11">
        <v>1.2700911660971401</v>
      </c>
      <c r="O62" s="18">
        <v>39647570.750000007</v>
      </c>
      <c r="P62" s="11">
        <v>1.3459159058726171</v>
      </c>
    </row>
    <row r="63" spans="1:16" x14ac:dyDescent="0.3">
      <c r="A63" s="10" t="s">
        <v>430</v>
      </c>
      <c r="B63" s="3" t="s">
        <v>711</v>
      </c>
      <c r="C63" s="4">
        <v>5243885</v>
      </c>
      <c r="D63" s="4">
        <v>11460645.589999998</v>
      </c>
      <c r="E63" s="6">
        <v>6216760.589999998</v>
      </c>
      <c r="F63" s="11">
        <v>2.1855257294925421</v>
      </c>
      <c r="G63" s="18">
        <v>5243884.84</v>
      </c>
      <c r="H63" s="11">
        <v>2.1855257961767136</v>
      </c>
      <c r="J63" s="4">
        <v>5932989</v>
      </c>
      <c r="K63" s="4">
        <v>12408586.600000001</v>
      </c>
      <c r="L63" s="11">
        <v>8.2712706064929781E-2</v>
      </c>
      <c r="M63" s="6">
        <v>6475597.6000000015</v>
      </c>
      <c r="N63" s="11">
        <v>2.0914561951825634</v>
      </c>
      <c r="O63" s="18">
        <v>5932989.4900000002</v>
      </c>
      <c r="P63" s="11">
        <v>2.0914560224511711</v>
      </c>
    </row>
    <row r="64" spans="1:16" x14ac:dyDescent="0.3">
      <c r="A64" s="10" t="s">
        <v>48</v>
      </c>
      <c r="B64" s="3" t="s">
        <v>712</v>
      </c>
      <c r="C64" s="4">
        <v>2421205</v>
      </c>
      <c r="D64" s="4">
        <v>5325938.7</v>
      </c>
      <c r="E64" s="6">
        <v>2904733.7</v>
      </c>
      <c r="F64" s="11">
        <v>2.1997058076453668</v>
      </c>
      <c r="G64" s="18">
        <v>2355746.09</v>
      </c>
      <c r="H64" s="11">
        <v>2.2608288400045695</v>
      </c>
      <c r="J64" s="4">
        <v>2504088</v>
      </c>
      <c r="K64" s="4">
        <v>4847453.8480000002</v>
      </c>
      <c r="L64" s="11">
        <v>-8.9840473004317523E-2</v>
      </c>
      <c r="M64" s="6">
        <v>2343365.8480000002</v>
      </c>
      <c r="N64" s="11">
        <v>1.935816092725176</v>
      </c>
      <c r="O64" s="18">
        <v>2504088.0100000002</v>
      </c>
      <c r="P64" s="11">
        <v>1.9358160849945525</v>
      </c>
    </row>
    <row r="65" spans="1:16" x14ac:dyDescent="0.3">
      <c r="A65" s="10" t="s">
        <v>49</v>
      </c>
      <c r="B65" s="3" t="s">
        <v>713</v>
      </c>
      <c r="C65" s="4">
        <v>120819748</v>
      </c>
      <c r="D65" s="4">
        <v>126013142.75228465</v>
      </c>
      <c r="E65" s="6">
        <v>5193394.752284646</v>
      </c>
      <c r="F65" s="11">
        <v>1.0429846514187784</v>
      </c>
      <c r="G65" s="18">
        <v>120819748.25191998</v>
      </c>
      <c r="H65" s="11">
        <v>1.042984649244062</v>
      </c>
      <c r="J65" s="4">
        <v>131079662</v>
      </c>
      <c r="K65" s="4">
        <v>132876205.67</v>
      </c>
      <c r="L65" s="11">
        <v>5.4463072405127572E-2</v>
      </c>
      <c r="M65" s="6">
        <v>1796543.6700000018</v>
      </c>
      <c r="N65" s="11">
        <v>1.0137057392625868</v>
      </c>
      <c r="O65" s="18">
        <v>131079661.89111</v>
      </c>
      <c r="P65" s="11">
        <v>1.0137057401046885</v>
      </c>
    </row>
    <row r="66" spans="1:16" x14ac:dyDescent="0.3">
      <c r="A66" s="10" t="s">
        <v>50</v>
      </c>
      <c r="B66" s="3" t="s">
        <v>714</v>
      </c>
      <c r="C66" s="4">
        <v>20975457</v>
      </c>
      <c r="D66" s="4">
        <v>23535014.301893651</v>
      </c>
      <c r="E66" s="6">
        <v>2559557.3018936515</v>
      </c>
      <c r="F66" s="11">
        <v>1.1220262949166566</v>
      </c>
      <c r="G66" s="18">
        <v>20710203.66</v>
      </c>
      <c r="H66" s="11">
        <v>1.1363970479609302</v>
      </c>
      <c r="J66" s="4">
        <v>22300571</v>
      </c>
      <c r="K66" s="4">
        <v>23460727.98483108</v>
      </c>
      <c r="L66" s="11">
        <v>-3.1564169075773405E-3</v>
      </c>
      <c r="M66" s="6">
        <v>1160156.9848310798</v>
      </c>
      <c r="N66" s="11">
        <v>1.0520236448129996</v>
      </c>
      <c r="O66" s="18">
        <v>22300570.939999998</v>
      </c>
      <c r="P66" s="11">
        <v>1.0520236476434841</v>
      </c>
    </row>
    <row r="67" spans="1:16" x14ac:dyDescent="0.3">
      <c r="A67" s="10" t="s">
        <v>431</v>
      </c>
      <c r="B67" s="3" t="s">
        <v>715</v>
      </c>
      <c r="C67" s="4">
        <v>182699136.825634</v>
      </c>
      <c r="D67" s="4">
        <v>181022709.24169928</v>
      </c>
      <c r="E67" s="6">
        <v>-1676427.5839347243</v>
      </c>
      <c r="F67" s="11">
        <v>0.99082410780334074</v>
      </c>
      <c r="G67" s="18">
        <v>179465809.67000002</v>
      </c>
      <c r="H67" s="11">
        <v>1.008675187628006</v>
      </c>
      <c r="J67" s="4">
        <v>206429717.58393472</v>
      </c>
      <c r="K67" s="4">
        <v>205357758.6539126</v>
      </c>
      <c r="L67" s="11">
        <v>0.13443092037541804</v>
      </c>
      <c r="M67" s="6">
        <v>-1071958.9300221205</v>
      </c>
      <c r="N67" s="11">
        <v>0.99480714820245653</v>
      </c>
      <c r="O67" s="18">
        <v>204753290.08000001</v>
      </c>
      <c r="P67" s="11">
        <v>1.0029521800293242</v>
      </c>
    </row>
    <row r="68" spans="1:16" x14ac:dyDescent="0.3">
      <c r="A68" s="10" t="s">
        <v>51</v>
      </c>
      <c r="B68" s="3" t="s">
        <v>716</v>
      </c>
      <c r="C68" s="4">
        <v>37392327</v>
      </c>
      <c r="D68" s="4">
        <v>62674734.792722821</v>
      </c>
      <c r="E68" s="6">
        <v>25282407.792722821</v>
      </c>
      <c r="F68" s="11">
        <v>1.6761389253127472</v>
      </c>
      <c r="G68" s="18">
        <v>36995294.280000001</v>
      </c>
      <c r="H68" s="11">
        <v>1.6941272130008536</v>
      </c>
      <c r="J68" s="4">
        <v>41087216</v>
      </c>
      <c r="K68" s="4">
        <v>65589615.030835949</v>
      </c>
      <c r="L68" s="11">
        <v>4.6508058594155792E-2</v>
      </c>
      <c r="M68" s="6">
        <v>24502399.030835949</v>
      </c>
      <c r="N68" s="11">
        <v>1.5963509192454399</v>
      </c>
      <c r="O68" s="18">
        <v>41087216.109999992</v>
      </c>
      <c r="P68" s="11">
        <v>1.5963509149716388</v>
      </c>
    </row>
    <row r="69" spans="1:16" x14ac:dyDescent="0.3">
      <c r="A69" s="10" t="s">
        <v>432</v>
      </c>
      <c r="B69" s="3" t="s">
        <v>717</v>
      </c>
      <c r="C69" s="4">
        <v>80950249</v>
      </c>
      <c r="D69" s="4">
        <v>81150775.52737084</v>
      </c>
      <c r="E69" s="6">
        <v>200526.52737084031</v>
      </c>
      <c r="F69" s="11">
        <v>1.002477157635066</v>
      </c>
      <c r="G69" s="18">
        <v>80948312.820000008</v>
      </c>
      <c r="H69" s="11">
        <v>1.002501135605149</v>
      </c>
      <c r="J69" s="4">
        <v>88839003</v>
      </c>
      <c r="K69" s="4">
        <v>88780845.873525187</v>
      </c>
      <c r="L69" s="11">
        <v>9.4023381743047516E-2</v>
      </c>
      <c r="M69" s="6">
        <v>-58157.126474812627</v>
      </c>
      <c r="N69" s="11">
        <v>0.99934536493532222</v>
      </c>
      <c r="O69" s="18">
        <v>88839002.539999992</v>
      </c>
      <c r="P69" s="11">
        <v>0.99934537010983859</v>
      </c>
    </row>
    <row r="70" spans="1:16" x14ac:dyDescent="0.3">
      <c r="A70" s="10" t="s">
        <v>52</v>
      </c>
      <c r="B70" s="3" t="s">
        <v>718</v>
      </c>
      <c r="C70" s="4">
        <v>985195</v>
      </c>
      <c r="D70" s="4">
        <v>1602443.3200821916</v>
      </c>
      <c r="E70" s="6">
        <v>617248.32008219161</v>
      </c>
      <c r="F70" s="11">
        <v>1.6265240080209415</v>
      </c>
      <c r="G70" s="18">
        <v>710252.54</v>
      </c>
      <c r="H70" s="11">
        <v>2.2561599288081271</v>
      </c>
      <c r="J70" s="4">
        <v>1014928</v>
      </c>
      <c r="K70" s="4">
        <v>1563932.3426068553</v>
      </c>
      <c r="L70" s="11">
        <v>-2.4032661244680408E-2</v>
      </c>
      <c r="M70" s="6">
        <v>549004.34260685532</v>
      </c>
      <c r="N70" s="11">
        <v>1.5409293492807916</v>
      </c>
      <c r="O70" s="18">
        <v>969371.9800000001</v>
      </c>
      <c r="P70" s="11">
        <v>1.6133459341447596</v>
      </c>
    </row>
    <row r="71" spans="1:16" x14ac:dyDescent="0.3">
      <c r="A71" s="10" t="s">
        <v>433</v>
      </c>
      <c r="B71" s="3" t="s">
        <v>719</v>
      </c>
      <c r="C71" s="4">
        <v>33613372</v>
      </c>
      <c r="D71" s="4">
        <v>47544038.705967061</v>
      </c>
      <c r="E71" s="6">
        <v>13930666.705967061</v>
      </c>
      <c r="F71" s="11">
        <v>1.4144382392211963</v>
      </c>
      <c r="G71" s="18">
        <v>29685008.984399997</v>
      </c>
      <c r="H71" s="11">
        <v>1.6016177974193069</v>
      </c>
      <c r="J71" s="4">
        <v>35055644</v>
      </c>
      <c r="K71" s="4">
        <v>49068246.188107692</v>
      </c>
      <c r="L71" s="11">
        <v>3.2058855823481676E-2</v>
      </c>
      <c r="M71" s="6">
        <v>14012602.188107692</v>
      </c>
      <c r="N71" s="11">
        <v>1.3997245689769011</v>
      </c>
      <c r="O71" s="18">
        <v>32116850.096899997</v>
      </c>
      <c r="P71" s="11">
        <v>1.5278038176241913</v>
      </c>
    </row>
    <row r="72" spans="1:16" x14ac:dyDescent="0.3">
      <c r="A72" s="10" t="s">
        <v>53</v>
      </c>
      <c r="B72" s="3" t="s">
        <v>720</v>
      </c>
      <c r="C72" s="4">
        <v>124235874</v>
      </c>
      <c r="D72" s="4">
        <v>181461730.70281765</v>
      </c>
      <c r="E72" s="6">
        <v>57225856.702817649</v>
      </c>
      <c r="F72" s="11">
        <v>1.4606226435274055</v>
      </c>
      <c r="G72" s="18">
        <v>124104569.45571999</v>
      </c>
      <c r="H72" s="11">
        <v>1.4621680047611982</v>
      </c>
      <c r="J72" s="4">
        <v>139318257</v>
      </c>
      <c r="K72" s="4">
        <v>190339498.7119436</v>
      </c>
      <c r="L72" s="11">
        <v>4.8923637919364882E-2</v>
      </c>
      <c r="M72" s="6">
        <v>51021241.711943597</v>
      </c>
      <c r="N72" s="11">
        <v>1.3662207869277578</v>
      </c>
      <c r="O72" s="18">
        <v>139318256.59154996</v>
      </c>
      <c r="P72" s="11">
        <v>1.3662207909332122</v>
      </c>
    </row>
    <row r="73" spans="1:16" x14ac:dyDescent="0.3">
      <c r="A73" s="10" t="s">
        <v>54</v>
      </c>
      <c r="B73" s="3" t="s">
        <v>721</v>
      </c>
      <c r="C73" s="4">
        <v>71018218</v>
      </c>
      <c r="D73" s="4">
        <v>80449980.397067353</v>
      </c>
      <c r="E73" s="6">
        <v>9431762.3970673531</v>
      </c>
      <c r="F73" s="11">
        <v>1.1328076465825621</v>
      </c>
      <c r="G73" s="18">
        <v>59769256.119000003</v>
      </c>
      <c r="H73" s="11">
        <v>1.3460093971538183</v>
      </c>
      <c r="J73" s="4">
        <v>73686081</v>
      </c>
      <c r="K73" s="4">
        <v>83397419.901482239</v>
      </c>
      <c r="L73" s="11">
        <v>3.6636920106972823E-2</v>
      </c>
      <c r="M73" s="6">
        <v>9711338.9014822394</v>
      </c>
      <c r="N73" s="11">
        <v>1.1317933966590277</v>
      </c>
      <c r="O73" s="18">
        <v>62458712.611599997</v>
      </c>
      <c r="P73" s="11">
        <v>1.3352407760961991</v>
      </c>
    </row>
    <row r="74" spans="1:16" x14ac:dyDescent="0.3">
      <c r="A74" s="10" t="s">
        <v>55</v>
      </c>
      <c r="B74" s="3" t="s">
        <v>722</v>
      </c>
      <c r="C74" s="4">
        <v>31404375</v>
      </c>
      <c r="D74" s="4">
        <v>32239337.367782526</v>
      </c>
      <c r="E74" s="6">
        <v>834962.36778252572</v>
      </c>
      <c r="F74" s="11">
        <v>1.0265874537475281</v>
      </c>
      <c r="G74" s="18">
        <v>30713287.02</v>
      </c>
      <c r="H74" s="11">
        <v>1.0496869757635772</v>
      </c>
      <c r="J74" s="4">
        <v>34029130</v>
      </c>
      <c r="K74" s="4">
        <v>34339454.124033131</v>
      </c>
      <c r="L74" s="11">
        <v>6.5141436757608348E-2</v>
      </c>
      <c r="M74" s="6">
        <v>310324.12403313071</v>
      </c>
      <c r="N74" s="11">
        <v>1.0091193669668643</v>
      </c>
      <c r="O74" s="18">
        <v>34029130.219999999</v>
      </c>
      <c r="P74" s="11">
        <v>1.0091193604428581</v>
      </c>
    </row>
    <row r="75" spans="1:16" x14ac:dyDescent="0.3">
      <c r="A75" s="10" t="s">
        <v>56</v>
      </c>
      <c r="B75" s="3" t="s">
        <v>723</v>
      </c>
      <c r="C75" s="4">
        <v>16245424</v>
      </c>
      <c r="D75" s="4">
        <v>20224749.739999998</v>
      </c>
      <c r="E75" s="6">
        <v>3979325.7399999984</v>
      </c>
      <c r="F75" s="11">
        <v>1.2449505620782813</v>
      </c>
      <c r="G75" s="18">
        <v>13268519.02</v>
      </c>
      <c r="H75" s="11">
        <v>1.5242657985804355</v>
      </c>
      <c r="J75" s="4">
        <v>16647575</v>
      </c>
      <c r="K75" s="4">
        <v>20641741</v>
      </c>
      <c r="L75" s="11">
        <v>2.0617869954419603E-2</v>
      </c>
      <c r="M75" s="6">
        <v>3994166</v>
      </c>
      <c r="N75" s="11">
        <v>1.2399247938513567</v>
      </c>
      <c r="O75" s="18">
        <v>14264533.799999997</v>
      </c>
      <c r="P75" s="11">
        <v>1.4470673412404129</v>
      </c>
    </row>
    <row r="76" spans="1:16" x14ac:dyDescent="0.3">
      <c r="A76" s="10" t="s">
        <v>57</v>
      </c>
      <c r="B76" s="3" t="s">
        <v>724</v>
      </c>
      <c r="C76" s="4">
        <v>39342679</v>
      </c>
      <c r="D76" s="4">
        <v>55250621.678269207</v>
      </c>
      <c r="E76" s="6">
        <v>15907942.678269207</v>
      </c>
      <c r="F76" s="11">
        <v>1.4043431480166668</v>
      </c>
      <c r="G76" s="18">
        <v>39342679.288419999</v>
      </c>
      <c r="H76" s="11">
        <v>1.4043431377214695</v>
      </c>
      <c r="J76" s="4">
        <v>43648880</v>
      </c>
      <c r="K76" s="4">
        <v>58036958.668215767</v>
      </c>
      <c r="L76" s="11">
        <v>5.0430871279091183E-2</v>
      </c>
      <c r="M76" s="6">
        <v>14388078.668215767</v>
      </c>
      <c r="N76" s="11">
        <v>1.3296322532952911</v>
      </c>
      <c r="O76" s="18">
        <v>43648880.139679991</v>
      </c>
      <c r="P76" s="11">
        <v>1.3296322490403589</v>
      </c>
    </row>
    <row r="77" spans="1:16" x14ac:dyDescent="0.3">
      <c r="A77" s="10" t="s">
        <v>434</v>
      </c>
      <c r="B77" s="3" t="s">
        <v>725</v>
      </c>
      <c r="C77" s="4">
        <v>33731215</v>
      </c>
      <c r="D77" s="4">
        <v>45733196.720326774</v>
      </c>
      <c r="E77" s="6">
        <v>12001981.720326774</v>
      </c>
      <c r="F77" s="11">
        <v>1.355812315694136</v>
      </c>
      <c r="G77" s="18">
        <v>33113667.029999997</v>
      </c>
      <c r="H77" s="11">
        <v>1.3810973178806762</v>
      </c>
      <c r="J77" s="4">
        <v>36001738</v>
      </c>
      <c r="K77" s="4">
        <v>47693248.846000001</v>
      </c>
      <c r="L77" s="11">
        <v>4.285841065647733E-2</v>
      </c>
      <c r="M77" s="6">
        <v>11691510.846000001</v>
      </c>
      <c r="N77" s="11">
        <v>1.3247485120301692</v>
      </c>
      <c r="O77" s="18">
        <v>36001737.560000002</v>
      </c>
      <c r="P77" s="11">
        <v>1.3247485282207585</v>
      </c>
    </row>
    <row r="78" spans="1:16" x14ac:dyDescent="0.3">
      <c r="A78" s="10" t="s">
        <v>435</v>
      </c>
      <c r="B78" s="3" t="s">
        <v>726</v>
      </c>
      <c r="C78" s="4">
        <v>9833607</v>
      </c>
      <c r="D78" s="4">
        <v>10480358.935968302</v>
      </c>
      <c r="E78" s="6">
        <v>646751.93596830219</v>
      </c>
      <c r="F78" s="11">
        <v>1.0657695529187106</v>
      </c>
      <c r="G78" s="18">
        <v>8293230.8600000022</v>
      </c>
      <c r="H78" s="11">
        <v>1.2637244896337421</v>
      </c>
      <c r="J78" s="4">
        <v>10156688</v>
      </c>
      <c r="K78" s="4">
        <v>10725818.6259994</v>
      </c>
      <c r="L78" s="11">
        <v>2.3420923990369005E-2</v>
      </c>
      <c r="M78" s="6">
        <v>569130.62599940039</v>
      </c>
      <c r="N78" s="11">
        <v>1.0560350604448419</v>
      </c>
      <c r="O78" s="18">
        <v>8631463.3900000025</v>
      </c>
      <c r="P78" s="11">
        <v>1.2426419647942686</v>
      </c>
    </row>
    <row r="79" spans="1:16" x14ac:dyDescent="0.3">
      <c r="A79" s="10" t="s">
        <v>58</v>
      </c>
      <c r="B79" s="3" t="s">
        <v>727</v>
      </c>
      <c r="C79" s="4">
        <v>24139103</v>
      </c>
      <c r="D79" s="4">
        <v>28936710.361319736</v>
      </c>
      <c r="E79" s="6">
        <v>4797607.3613197356</v>
      </c>
      <c r="F79" s="11">
        <v>1.1987483694534853</v>
      </c>
      <c r="G79" s="18">
        <v>23851070.390000001</v>
      </c>
      <c r="H79" s="11">
        <v>1.2132248108014465</v>
      </c>
      <c r="J79" s="4">
        <v>26326536</v>
      </c>
      <c r="K79" s="4">
        <v>31199686.955968723</v>
      </c>
      <c r="L79" s="11">
        <v>7.8204348953015479E-2</v>
      </c>
      <c r="M79" s="6">
        <v>4873150.9559687227</v>
      </c>
      <c r="N79" s="11">
        <v>1.1851041457170333</v>
      </c>
      <c r="O79" s="18">
        <v>26326536.470000003</v>
      </c>
      <c r="P79" s="11">
        <v>1.1851041245597136</v>
      </c>
    </row>
    <row r="80" spans="1:16" x14ac:dyDescent="0.3">
      <c r="A80" s="10" t="s">
        <v>59</v>
      </c>
      <c r="B80" s="3" t="s">
        <v>728</v>
      </c>
      <c r="C80" s="4">
        <v>6126694</v>
      </c>
      <c r="D80" s="4">
        <v>9004914.2159000002</v>
      </c>
      <c r="E80" s="6">
        <v>2878220.2159000002</v>
      </c>
      <c r="F80" s="11">
        <v>1.4697835759220226</v>
      </c>
      <c r="G80" s="18">
        <v>5857373.9399999985</v>
      </c>
      <c r="H80" s="11">
        <v>1.5373637244508931</v>
      </c>
      <c r="J80" s="4">
        <v>6293720</v>
      </c>
      <c r="K80" s="4">
        <v>9365981.1080000009</v>
      </c>
      <c r="L80" s="11">
        <v>4.0096649833983318E-2</v>
      </c>
      <c r="M80" s="6">
        <v>3072261.1080000009</v>
      </c>
      <c r="N80" s="11">
        <v>1.4881470907507803</v>
      </c>
      <c r="O80" s="18">
        <v>6025430.8700000001</v>
      </c>
      <c r="P80" s="11">
        <v>1.5544085244811714</v>
      </c>
    </row>
    <row r="81" spans="1:16" x14ac:dyDescent="0.3">
      <c r="A81" s="10" t="s">
        <v>60</v>
      </c>
      <c r="B81" s="3" t="s">
        <v>729</v>
      </c>
      <c r="C81" s="4">
        <v>6915659</v>
      </c>
      <c r="D81" s="4">
        <v>8954093.6099999994</v>
      </c>
      <c r="E81" s="6">
        <v>2038434.6099999994</v>
      </c>
      <c r="F81" s="11">
        <v>1.294756379688472</v>
      </c>
      <c r="G81" s="18">
        <v>6881455.87414</v>
      </c>
      <c r="H81" s="11">
        <v>1.3011917497936474</v>
      </c>
      <c r="J81" s="4">
        <v>7179616</v>
      </c>
      <c r="K81" s="4">
        <v>9124443.1559999995</v>
      </c>
      <c r="L81" s="11">
        <v>1.9024767153400367E-2</v>
      </c>
      <c r="M81" s="6">
        <v>1944827.1559999995</v>
      </c>
      <c r="N81" s="11">
        <v>1.2708817791926477</v>
      </c>
      <c r="O81" s="18">
        <v>7179616.2489300007</v>
      </c>
      <c r="P81" s="11">
        <v>1.2708817351289272</v>
      </c>
    </row>
    <row r="82" spans="1:16" x14ac:dyDescent="0.3">
      <c r="A82" s="10" t="s">
        <v>61</v>
      </c>
      <c r="B82" s="3" t="s">
        <v>730</v>
      </c>
      <c r="C82" s="4">
        <v>936904</v>
      </c>
      <c r="D82" s="4">
        <v>1506504</v>
      </c>
      <c r="E82" s="6">
        <v>569600</v>
      </c>
      <c r="F82" s="11">
        <v>1.6079598336649219</v>
      </c>
      <c r="G82" s="18">
        <v>936904.25999999989</v>
      </c>
      <c r="H82" s="11">
        <v>1.6079593874405056</v>
      </c>
      <c r="J82" s="4">
        <v>1024022</v>
      </c>
      <c r="K82" s="4">
        <v>2158389</v>
      </c>
      <c r="L82" s="11">
        <v>0.43271375316627103</v>
      </c>
      <c r="M82" s="6">
        <v>1134367</v>
      </c>
      <c r="N82" s="11">
        <v>2.1077564739820045</v>
      </c>
      <c r="O82" s="18">
        <v>1024022.3699999999</v>
      </c>
      <c r="P82" s="11">
        <v>2.1077557124069468</v>
      </c>
    </row>
    <row r="83" spans="1:16" x14ac:dyDescent="0.3">
      <c r="A83" s="10" t="s">
        <v>62</v>
      </c>
      <c r="B83" s="3" t="s">
        <v>731</v>
      </c>
      <c r="C83" s="4">
        <v>28693777</v>
      </c>
      <c r="D83" s="4">
        <v>36749661.866208136</v>
      </c>
      <c r="E83" s="6">
        <v>8055884.8662081361</v>
      </c>
      <c r="F83" s="11">
        <v>1.2807537281065555</v>
      </c>
      <c r="G83" s="18">
        <v>27986422.446649998</v>
      </c>
      <c r="H83" s="11">
        <v>1.3131246745189864</v>
      </c>
      <c r="J83" s="4">
        <v>29748743</v>
      </c>
      <c r="K83" s="4">
        <v>38909522.826717876</v>
      </c>
      <c r="L83" s="11">
        <v>5.8772267575494738E-2</v>
      </c>
      <c r="M83" s="6">
        <v>9160779.8267178759</v>
      </c>
      <c r="N83" s="11">
        <v>1.307938383370278</v>
      </c>
      <c r="O83" s="18">
        <v>29637166.854109999</v>
      </c>
      <c r="P83" s="11">
        <v>1.3128624277162313</v>
      </c>
    </row>
    <row r="84" spans="1:16" x14ac:dyDescent="0.3">
      <c r="A84" s="10" t="s">
        <v>63</v>
      </c>
      <c r="B84" s="3" t="s">
        <v>732</v>
      </c>
      <c r="C84" s="4">
        <v>9760072</v>
      </c>
      <c r="D84" s="4">
        <v>15248914.144071095</v>
      </c>
      <c r="E84" s="6">
        <v>5488842.1440710947</v>
      </c>
      <c r="F84" s="11">
        <v>1.5623772185360001</v>
      </c>
      <c r="G84" s="18">
        <v>9395298.2599999998</v>
      </c>
      <c r="H84" s="11">
        <v>1.6230367277420628</v>
      </c>
      <c r="J84" s="4">
        <v>10079963</v>
      </c>
      <c r="K84" s="4">
        <v>16049639.570693322</v>
      </c>
      <c r="L84" s="11">
        <v>5.2510324279945897E-2</v>
      </c>
      <c r="M84" s="6">
        <v>5969676.5706933215</v>
      </c>
      <c r="N84" s="11">
        <v>1.5922319923885953</v>
      </c>
      <c r="O84" s="18">
        <v>9947885.4299999997</v>
      </c>
      <c r="P84" s="11">
        <v>1.6133719757459373</v>
      </c>
    </row>
    <row r="85" spans="1:16" x14ac:dyDescent="0.3">
      <c r="A85" s="10" t="s">
        <v>64</v>
      </c>
      <c r="B85" s="3" t="s">
        <v>733</v>
      </c>
      <c r="C85" s="4">
        <v>4054949</v>
      </c>
      <c r="D85" s="4">
        <v>6374380.8786197528</v>
      </c>
      <c r="E85" s="6">
        <v>2319431.8786197528</v>
      </c>
      <c r="F85" s="11">
        <v>1.5720002590956761</v>
      </c>
      <c r="G85" s="18">
        <v>3877179.38</v>
      </c>
      <c r="H85" s="11">
        <v>1.644076854298073</v>
      </c>
      <c r="J85" s="4">
        <v>4163732</v>
      </c>
      <c r="K85" s="4">
        <v>6447510.3250484318</v>
      </c>
      <c r="L85" s="11">
        <v>1.1472399880270987E-2</v>
      </c>
      <c r="M85" s="6">
        <v>2283778.3250484318</v>
      </c>
      <c r="N85" s="11">
        <v>1.5484931126807469</v>
      </c>
      <c r="O85" s="18">
        <v>4125023.4699999997</v>
      </c>
      <c r="P85" s="11">
        <v>1.5630239129399262</v>
      </c>
    </row>
    <row r="86" spans="1:16" x14ac:dyDescent="0.3">
      <c r="A86" s="10" t="s">
        <v>65</v>
      </c>
      <c r="B86" s="3" t="s">
        <v>734</v>
      </c>
      <c r="C86" s="4">
        <v>109839438</v>
      </c>
      <c r="D86" s="4">
        <v>125203117.84228116</v>
      </c>
      <c r="E86" s="6">
        <v>15363679.842281163</v>
      </c>
      <c r="F86" s="11">
        <v>1.1398739844451968</v>
      </c>
      <c r="G86" s="18">
        <v>109839437.75000001</v>
      </c>
      <c r="H86" s="11">
        <v>1.1398739870396064</v>
      </c>
      <c r="J86" s="4">
        <v>121331843</v>
      </c>
      <c r="K86" s="4">
        <v>135179340.192</v>
      </c>
      <c r="L86" s="11">
        <v>7.9680302868223488E-2</v>
      </c>
      <c r="M86" s="6">
        <v>13847497.192000002</v>
      </c>
      <c r="N86" s="11">
        <v>1.1141291259541817</v>
      </c>
      <c r="O86" s="18">
        <v>121331843.41000001</v>
      </c>
      <c r="P86" s="11">
        <v>1.1141291221893583</v>
      </c>
    </row>
    <row r="87" spans="1:16" x14ac:dyDescent="0.3">
      <c r="A87" s="10" t="s">
        <v>66</v>
      </c>
      <c r="B87" s="3" t="s">
        <v>735</v>
      </c>
      <c r="C87" s="4">
        <v>43741996</v>
      </c>
      <c r="D87" s="4">
        <v>65578170.685823843</v>
      </c>
      <c r="E87" s="6">
        <v>21836174.685823843</v>
      </c>
      <c r="F87" s="11">
        <v>1.4992038928864573</v>
      </c>
      <c r="G87" s="18">
        <v>43233894.313900001</v>
      </c>
      <c r="H87" s="11">
        <v>1.5168231251548394</v>
      </c>
      <c r="J87" s="4">
        <v>45566365</v>
      </c>
      <c r="K87" s="4">
        <v>67153994.994207248</v>
      </c>
      <c r="L87" s="11">
        <v>2.4029708238324711E-2</v>
      </c>
      <c r="M87" s="6">
        <v>21587629.994207248</v>
      </c>
      <c r="N87" s="11">
        <v>1.4737623901798453</v>
      </c>
      <c r="O87" s="18">
        <v>45163141.519900002</v>
      </c>
      <c r="P87" s="11">
        <v>1.4869203676767597</v>
      </c>
    </row>
    <row r="88" spans="1:16" x14ac:dyDescent="0.3">
      <c r="A88" s="10" t="s">
        <v>67</v>
      </c>
      <c r="B88" s="3" t="s">
        <v>736</v>
      </c>
      <c r="C88" s="4">
        <v>17262299</v>
      </c>
      <c r="D88" s="4">
        <v>19873942.799999997</v>
      </c>
      <c r="E88" s="6">
        <v>2611643.799999997</v>
      </c>
      <c r="F88" s="11">
        <v>1.1512917717390945</v>
      </c>
      <c r="G88" s="18">
        <v>17262299.148400001</v>
      </c>
      <c r="H88" s="11">
        <v>1.1512917618417047</v>
      </c>
      <c r="J88" s="4">
        <v>18684758</v>
      </c>
      <c r="K88" s="4">
        <v>21541762.68</v>
      </c>
      <c r="L88" s="11">
        <v>8.3919929567272525E-2</v>
      </c>
      <c r="M88" s="6">
        <v>2857004.6799999997</v>
      </c>
      <c r="N88" s="11">
        <v>1.1529056292835047</v>
      </c>
      <c r="O88" s="18">
        <v>18684757.824399997</v>
      </c>
      <c r="P88" s="11">
        <v>1.152905640118552</v>
      </c>
    </row>
    <row r="89" spans="1:16" x14ac:dyDescent="0.3">
      <c r="A89" s="10" t="s">
        <v>68</v>
      </c>
      <c r="B89" s="3" t="s">
        <v>737</v>
      </c>
      <c r="C89" s="4">
        <v>2101881</v>
      </c>
      <c r="D89" s="4">
        <v>3029131.2</v>
      </c>
      <c r="E89" s="6">
        <v>927250.20000000019</v>
      </c>
      <c r="F89" s="11">
        <v>1.4411525676287098</v>
      </c>
      <c r="G89" s="18">
        <v>1813558.83</v>
      </c>
      <c r="H89" s="11">
        <v>1.6702690587655213</v>
      </c>
      <c r="J89" s="4">
        <v>2386919</v>
      </c>
      <c r="K89" s="4">
        <v>3202720.5279999999</v>
      </c>
      <c r="L89" s="11">
        <v>5.7306638946507081E-2</v>
      </c>
      <c r="M89" s="6">
        <v>815801.52799999993</v>
      </c>
      <c r="N89" s="11">
        <v>1.3417801475458531</v>
      </c>
      <c r="O89" s="18">
        <v>2386918.7400000002</v>
      </c>
      <c r="P89" s="11">
        <v>1.3417802937019967</v>
      </c>
    </row>
    <row r="90" spans="1:16" x14ac:dyDescent="0.3">
      <c r="A90" s="10" t="s">
        <v>69</v>
      </c>
      <c r="B90" s="3" t="s">
        <v>738</v>
      </c>
      <c r="C90" s="4">
        <v>29457390</v>
      </c>
      <c r="D90" s="4">
        <v>39994511.105053701</v>
      </c>
      <c r="E90" s="6">
        <v>10537121.105053701</v>
      </c>
      <c r="F90" s="11">
        <v>1.3577072206686913</v>
      </c>
      <c r="G90" s="18">
        <v>28327730.336479999</v>
      </c>
      <c r="H90" s="11">
        <v>1.4118501775466779</v>
      </c>
      <c r="J90" s="4">
        <v>31404798</v>
      </c>
      <c r="K90" s="4">
        <v>41915923.925810665</v>
      </c>
      <c r="L90" s="11">
        <v>4.8041912944253369E-2</v>
      </c>
      <c r="M90" s="6">
        <v>10511125.925810665</v>
      </c>
      <c r="N90" s="11">
        <v>1.3346980905850967</v>
      </c>
      <c r="O90" s="18">
        <v>31404798.240489997</v>
      </c>
      <c r="P90" s="11">
        <v>1.3346980803643165</v>
      </c>
    </row>
    <row r="91" spans="1:16" x14ac:dyDescent="0.3">
      <c r="A91" s="10" t="s">
        <v>436</v>
      </c>
      <c r="B91" s="3" t="s">
        <v>739</v>
      </c>
      <c r="C91" s="4">
        <v>94945261.542714879</v>
      </c>
      <c r="D91" s="4">
        <v>95862084.967304915</v>
      </c>
      <c r="E91" s="6">
        <v>916823.42459003627</v>
      </c>
      <c r="F91" s="11">
        <v>1.0096563368165306</v>
      </c>
      <c r="G91" s="18">
        <v>94346220.059999973</v>
      </c>
      <c r="H91" s="11">
        <v>1.0160670444066644</v>
      </c>
      <c r="J91" s="4">
        <v>101613349</v>
      </c>
      <c r="K91" s="4">
        <v>101420319.72856213</v>
      </c>
      <c r="L91" s="11">
        <v>5.7981575960432415E-2</v>
      </c>
      <c r="M91" s="6">
        <v>-193029.27143786848</v>
      </c>
      <c r="N91" s="11">
        <v>0.99810035518622786</v>
      </c>
      <c r="O91" s="18">
        <v>101613348.83999999</v>
      </c>
      <c r="P91" s="11">
        <v>0.99810035675783304</v>
      </c>
    </row>
    <row r="92" spans="1:16" x14ac:dyDescent="0.3">
      <c r="A92" s="10" t="s">
        <v>70</v>
      </c>
      <c r="B92" s="3" t="s">
        <v>740</v>
      </c>
      <c r="C92" s="4">
        <v>12214154</v>
      </c>
      <c r="D92" s="4">
        <v>15465380.798783936</v>
      </c>
      <c r="E92" s="6">
        <v>3251226.7987839356</v>
      </c>
      <c r="F92" s="11">
        <v>1.2661851814529221</v>
      </c>
      <c r="G92" s="18">
        <v>10312156.29149</v>
      </c>
      <c r="H92" s="11">
        <v>1.4997232743210633</v>
      </c>
      <c r="J92" s="4">
        <v>12546415</v>
      </c>
      <c r="K92" s="4">
        <v>16436046.122137845</v>
      </c>
      <c r="L92" s="11">
        <v>6.2763751890948183E-2</v>
      </c>
      <c r="M92" s="6">
        <v>3889631.1221378446</v>
      </c>
      <c r="N92" s="11">
        <v>1.3100193260096884</v>
      </c>
      <c r="O92" s="18">
        <v>11008174.74</v>
      </c>
      <c r="P92" s="11">
        <v>1.4930764191464718</v>
      </c>
    </row>
    <row r="93" spans="1:16" x14ac:dyDescent="0.3">
      <c r="A93" s="10" t="s">
        <v>71</v>
      </c>
      <c r="B93" s="3" t="s">
        <v>741</v>
      </c>
      <c r="C93" s="4">
        <v>44006243</v>
      </c>
      <c r="D93" s="4">
        <v>60636409.685013734</v>
      </c>
      <c r="E93" s="6">
        <v>16630166.685013734</v>
      </c>
      <c r="F93" s="11">
        <v>1.3779047142246097</v>
      </c>
      <c r="G93" s="18">
        <v>43582814.802780002</v>
      </c>
      <c r="H93" s="11">
        <v>1.3912917272416727</v>
      </c>
      <c r="J93" s="4">
        <v>46722628</v>
      </c>
      <c r="K93" s="4">
        <v>62373259.552541114</v>
      </c>
      <c r="L93" s="11">
        <v>2.8643679211050689E-2</v>
      </c>
      <c r="M93" s="6">
        <v>15650631.552541114</v>
      </c>
      <c r="N93" s="11">
        <v>1.3349689908825573</v>
      </c>
      <c r="O93" s="18">
        <v>46722628.012559995</v>
      </c>
      <c r="P93" s="11">
        <v>1.3349689905236903</v>
      </c>
    </row>
    <row r="94" spans="1:16" x14ac:dyDescent="0.3">
      <c r="A94" s="10" t="s">
        <v>72</v>
      </c>
      <c r="B94" s="3" t="s">
        <v>742</v>
      </c>
      <c r="C94" s="4">
        <v>31027255</v>
      </c>
      <c r="D94" s="4">
        <v>47582288.30498834</v>
      </c>
      <c r="E94" s="6">
        <v>16555033.30498834</v>
      </c>
      <c r="F94" s="11">
        <v>1.5335642261936591</v>
      </c>
      <c r="G94" s="18">
        <v>30183664.778300002</v>
      </c>
      <c r="H94" s="11">
        <v>1.576425150970957</v>
      </c>
      <c r="J94" s="4">
        <v>32381884</v>
      </c>
      <c r="K94" s="4">
        <v>49054649.878825411</v>
      </c>
      <c r="L94" s="11">
        <v>3.0943479733460299E-2</v>
      </c>
      <c r="M94" s="6">
        <v>16672765.878825411</v>
      </c>
      <c r="N94" s="11">
        <v>1.5148794269915058</v>
      </c>
      <c r="O94" s="18">
        <v>31921911.970039997</v>
      </c>
      <c r="P94" s="11">
        <v>1.5367077612664675</v>
      </c>
    </row>
    <row r="95" spans="1:16" x14ac:dyDescent="0.3">
      <c r="A95" s="10" t="s">
        <v>73</v>
      </c>
      <c r="B95" s="3" t="s">
        <v>743</v>
      </c>
      <c r="C95" s="4">
        <v>12407416</v>
      </c>
      <c r="D95" s="4">
        <v>19782817.630000003</v>
      </c>
      <c r="E95" s="6">
        <v>7375401.6300000027</v>
      </c>
      <c r="F95" s="11">
        <v>1.5944349435853526</v>
      </c>
      <c r="G95" s="18">
        <v>10312532.869039997</v>
      </c>
      <c r="H95" s="11">
        <v>1.918327716500321</v>
      </c>
      <c r="J95" s="4">
        <v>12728927</v>
      </c>
      <c r="K95" s="4">
        <v>20199851</v>
      </c>
      <c r="L95" s="11">
        <v>2.1080585071338864E-2</v>
      </c>
      <c r="M95" s="6">
        <v>7470924</v>
      </c>
      <c r="N95" s="11">
        <v>1.5869248837706431</v>
      </c>
      <c r="O95" s="18">
        <v>10651125.811000003</v>
      </c>
      <c r="P95" s="11">
        <v>1.8964991455775035</v>
      </c>
    </row>
    <row r="96" spans="1:16" x14ac:dyDescent="0.3">
      <c r="A96" s="10" t="s">
        <v>74</v>
      </c>
      <c r="B96" s="3" t="s">
        <v>744</v>
      </c>
      <c r="C96" s="4">
        <v>18527082</v>
      </c>
      <c r="D96" s="4">
        <v>31070248.5</v>
      </c>
      <c r="E96" s="6">
        <v>12543166.5</v>
      </c>
      <c r="F96" s="11">
        <v>1.6770179189577723</v>
      </c>
      <c r="G96" s="18">
        <v>18360232.905999996</v>
      </c>
      <c r="H96" s="11">
        <v>1.6922578629079623</v>
      </c>
      <c r="J96" s="4">
        <v>19884295</v>
      </c>
      <c r="K96" s="4">
        <v>34096668</v>
      </c>
      <c r="L96" s="11">
        <v>9.7405706298100581E-2</v>
      </c>
      <c r="M96" s="6">
        <v>14212373</v>
      </c>
      <c r="N96" s="11">
        <v>1.7147536787198139</v>
      </c>
      <c r="O96" s="18">
        <v>19884295.035099998</v>
      </c>
      <c r="P96" s="11">
        <v>1.7147536756929098</v>
      </c>
    </row>
    <row r="97" spans="1:16" x14ac:dyDescent="0.3">
      <c r="A97" s="10" t="s">
        <v>437</v>
      </c>
      <c r="B97" s="3" t="s">
        <v>745</v>
      </c>
      <c r="C97" s="4">
        <v>12251103</v>
      </c>
      <c r="D97" s="4">
        <v>15115684.702411845</v>
      </c>
      <c r="E97" s="6">
        <v>2864581.7024118453</v>
      </c>
      <c r="F97" s="11">
        <v>1.2338223507231836</v>
      </c>
      <c r="G97" s="18">
        <v>11891965.326339999</v>
      </c>
      <c r="H97" s="11">
        <v>1.2710838189993288</v>
      </c>
      <c r="J97" s="4">
        <v>13087069</v>
      </c>
      <c r="K97" s="4">
        <v>15313842.090970395</v>
      </c>
      <c r="L97" s="11">
        <v>1.3109388854011488E-2</v>
      </c>
      <c r="M97" s="6">
        <v>2226773.0909703951</v>
      </c>
      <c r="N97" s="11">
        <v>1.1701506342612233</v>
      </c>
      <c r="O97" s="18">
        <v>13087068.680339999</v>
      </c>
      <c r="P97" s="11">
        <v>1.170150662842899</v>
      </c>
    </row>
    <row r="98" spans="1:16" x14ac:dyDescent="0.3">
      <c r="A98" s="10" t="s">
        <v>75</v>
      </c>
      <c r="B98" s="3" t="s">
        <v>746</v>
      </c>
      <c r="C98" s="4">
        <v>245266148.15996006</v>
      </c>
      <c r="D98" s="4">
        <v>238056497.34227657</v>
      </c>
      <c r="E98" s="6">
        <v>-7209650.8176834881</v>
      </c>
      <c r="F98" s="11">
        <v>0.97060478638502767</v>
      </c>
      <c r="G98" s="18">
        <v>234592260.91</v>
      </c>
      <c r="H98" s="11">
        <v>1.0147670533496653</v>
      </c>
      <c r="J98" s="4">
        <v>260924125.81768349</v>
      </c>
      <c r="K98" s="4">
        <v>255717344.99791497</v>
      </c>
      <c r="L98" s="11">
        <v>7.4187631309410168E-2</v>
      </c>
      <c r="M98" s="6">
        <v>-5206780.8197685182</v>
      </c>
      <c r="N98" s="11">
        <v>0.98004484712384676</v>
      </c>
      <c r="O98" s="18">
        <v>253714474.64999995</v>
      </c>
      <c r="P98" s="11">
        <v>1.0078941903124683</v>
      </c>
    </row>
    <row r="99" spans="1:16" x14ac:dyDescent="0.3">
      <c r="A99" s="10" t="s">
        <v>76</v>
      </c>
      <c r="B99" s="3" t="s">
        <v>747</v>
      </c>
      <c r="C99" s="4">
        <v>8177437</v>
      </c>
      <c r="D99" s="4">
        <v>12463905.097574435</v>
      </c>
      <c r="E99" s="6">
        <v>4286468.0975744352</v>
      </c>
      <c r="F99" s="11">
        <v>1.5241823443671207</v>
      </c>
      <c r="G99" s="18">
        <v>7363633.6299999999</v>
      </c>
      <c r="H99" s="11">
        <v>1.6926297156875845</v>
      </c>
      <c r="J99" s="4">
        <v>8519039</v>
      </c>
      <c r="K99" s="4">
        <v>13424142.07</v>
      </c>
      <c r="L99" s="11">
        <v>7.7041422002838741E-2</v>
      </c>
      <c r="M99" s="6">
        <v>4905103.07</v>
      </c>
      <c r="N99" s="11">
        <v>1.5757812671124056</v>
      </c>
      <c r="O99" s="18">
        <v>7917418.4799999995</v>
      </c>
      <c r="P99" s="11">
        <v>1.6955200869968416</v>
      </c>
    </row>
    <row r="100" spans="1:16" x14ac:dyDescent="0.3">
      <c r="A100" s="10" t="s">
        <v>77</v>
      </c>
      <c r="B100" s="3" t="s">
        <v>748</v>
      </c>
      <c r="C100" s="4">
        <v>18721234</v>
      </c>
      <c r="D100" s="4">
        <v>20892157.53190656</v>
      </c>
      <c r="E100" s="6">
        <v>2170923.5319065601</v>
      </c>
      <c r="F100" s="11">
        <v>1.1159604934112015</v>
      </c>
      <c r="G100" s="18">
        <v>17918102.010000005</v>
      </c>
      <c r="H100" s="11">
        <v>1.1659804995108716</v>
      </c>
      <c r="J100" s="4">
        <v>19402051</v>
      </c>
      <c r="K100" s="4">
        <v>21066635.715071</v>
      </c>
      <c r="L100" s="11">
        <v>8.3513721786740575E-3</v>
      </c>
      <c r="M100" s="6">
        <v>1664584.7150710002</v>
      </c>
      <c r="N100" s="11">
        <v>1.0857942655171353</v>
      </c>
      <c r="O100" s="18">
        <v>19402050.66</v>
      </c>
      <c r="P100" s="11">
        <v>1.0857942845445081</v>
      </c>
    </row>
    <row r="101" spans="1:16" x14ac:dyDescent="0.3">
      <c r="A101" s="10" t="s">
        <v>78</v>
      </c>
      <c r="B101" s="3" t="s">
        <v>749</v>
      </c>
      <c r="C101" s="4">
        <v>6072044</v>
      </c>
      <c r="D101" s="4">
        <v>13845166.032913228</v>
      </c>
      <c r="E101" s="6">
        <v>7773122.0329132285</v>
      </c>
      <c r="F101" s="11">
        <v>2.2801491611248581</v>
      </c>
      <c r="G101" s="18">
        <v>5879254.1000000006</v>
      </c>
      <c r="H101" s="11">
        <v>2.3549188038858921</v>
      </c>
      <c r="J101" s="4">
        <v>6358019</v>
      </c>
      <c r="K101" s="4">
        <v>15710054.959230721</v>
      </c>
      <c r="L101" s="11">
        <v>0.13469603194965024</v>
      </c>
      <c r="M101" s="6">
        <v>9352035.959230721</v>
      </c>
      <c r="N101" s="11">
        <v>2.4709040597756502</v>
      </c>
      <c r="O101" s="18">
        <v>6111653.4900000002</v>
      </c>
      <c r="P101" s="11">
        <v>2.5705081259819131</v>
      </c>
    </row>
    <row r="102" spans="1:16" x14ac:dyDescent="0.3">
      <c r="A102" s="10" t="s">
        <v>79</v>
      </c>
      <c r="B102" s="3" t="s">
        <v>750</v>
      </c>
      <c r="C102" s="4">
        <v>81408337</v>
      </c>
      <c r="D102" s="4">
        <v>81685489.229999989</v>
      </c>
      <c r="E102" s="6">
        <v>277152.22999998927</v>
      </c>
      <c r="F102" s="11">
        <v>1.003404469864063</v>
      </c>
      <c r="G102" s="18">
        <v>81402160.149999991</v>
      </c>
      <c r="H102" s="11">
        <v>1.0034806088619503</v>
      </c>
      <c r="J102" s="4">
        <v>91159936</v>
      </c>
      <c r="K102" s="4">
        <v>91159971.002000004</v>
      </c>
      <c r="L102" s="11">
        <v>0.11598732971192631</v>
      </c>
      <c r="M102" s="6">
        <v>35.002000004053116</v>
      </c>
      <c r="N102" s="11">
        <v>1.0000003839625338</v>
      </c>
      <c r="O102" s="18">
        <v>91159936.339999989</v>
      </c>
      <c r="P102" s="11">
        <v>1.0000003802328239</v>
      </c>
    </row>
    <row r="103" spans="1:16" x14ac:dyDescent="0.3">
      <c r="A103" s="10" t="s">
        <v>80</v>
      </c>
      <c r="B103" s="3" t="s">
        <v>751</v>
      </c>
      <c r="C103" s="4">
        <v>1241178</v>
      </c>
      <c r="D103" s="4">
        <v>2609026.5500781452</v>
      </c>
      <c r="E103" s="6">
        <v>1367848.5500781452</v>
      </c>
      <c r="F103" s="11">
        <v>2.1020567155380978</v>
      </c>
      <c r="G103" s="18">
        <v>1142444.52</v>
      </c>
      <c r="H103" s="11">
        <v>2.2837227580015398</v>
      </c>
      <c r="J103" s="4">
        <v>1361700</v>
      </c>
      <c r="K103" s="4">
        <v>2919127.7027254291</v>
      </c>
      <c r="L103" s="11">
        <v>0.11885703219003109</v>
      </c>
      <c r="M103" s="6">
        <v>1557427.7027254291</v>
      </c>
      <c r="N103" s="11">
        <v>2.143737756279231</v>
      </c>
      <c r="O103" s="18">
        <v>1361700.11</v>
      </c>
      <c r="P103" s="11">
        <v>2.1437375831051586</v>
      </c>
    </row>
    <row r="104" spans="1:16" x14ac:dyDescent="0.3">
      <c r="A104" s="10" t="s">
        <v>81</v>
      </c>
      <c r="B104" s="3" t="s">
        <v>752</v>
      </c>
      <c r="C104" s="4">
        <v>81157401</v>
      </c>
      <c r="D104" s="4">
        <v>150016426.61000001</v>
      </c>
      <c r="E104" s="6">
        <v>68859025.610000014</v>
      </c>
      <c r="F104" s="11">
        <v>1.8484626757576923</v>
      </c>
      <c r="G104" s="18">
        <v>80618068.692389995</v>
      </c>
      <c r="H104" s="11">
        <v>1.8608288320873771</v>
      </c>
      <c r="J104" s="4">
        <v>84457008</v>
      </c>
      <c r="K104" s="4">
        <v>157748124.456</v>
      </c>
      <c r="L104" s="11">
        <v>5.1539008232079797E-2</v>
      </c>
      <c r="M104" s="6">
        <v>73291116.456</v>
      </c>
      <c r="N104" s="11">
        <v>1.8677920067450176</v>
      </c>
      <c r="O104" s="18">
        <v>84119411.739810005</v>
      </c>
      <c r="P104" s="11">
        <v>1.8752880125211904</v>
      </c>
    </row>
    <row r="105" spans="1:16" x14ac:dyDescent="0.3">
      <c r="A105" s="10" t="s">
        <v>82</v>
      </c>
      <c r="B105" s="3" t="s">
        <v>753</v>
      </c>
      <c r="C105" s="4">
        <v>6436691</v>
      </c>
      <c r="D105" s="4">
        <v>14155270.559289491</v>
      </c>
      <c r="E105" s="6">
        <v>7718579.5592894908</v>
      </c>
      <c r="F105" s="11">
        <v>2.1991533474714711</v>
      </c>
      <c r="G105" s="18">
        <v>6357796.1330000004</v>
      </c>
      <c r="H105" s="11">
        <v>2.2264429785373068</v>
      </c>
      <c r="J105" s="4">
        <v>7110979</v>
      </c>
      <c r="K105" s="4">
        <v>15322111.987003446</v>
      </c>
      <c r="L105" s="11">
        <v>8.2431587783972624E-2</v>
      </c>
      <c r="M105" s="6">
        <v>8211132.9870034456</v>
      </c>
      <c r="N105" s="11">
        <v>2.1547120286817676</v>
      </c>
      <c r="O105" s="18">
        <v>7110979.0267200004</v>
      </c>
      <c r="P105" s="11">
        <v>2.1547120205852863</v>
      </c>
    </row>
    <row r="106" spans="1:16" x14ac:dyDescent="0.3">
      <c r="A106" s="10" t="s">
        <v>83</v>
      </c>
      <c r="B106" s="3" t="s">
        <v>754</v>
      </c>
      <c r="C106" s="4">
        <v>17472772</v>
      </c>
      <c r="D106" s="4">
        <v>27920660</v>
      </c>
      <c r="E106" s="6">
        <v>10447888</v>
      </c>
      <c r="F106" s="11">
        <v>1.5979525172079163</v>
      </c>
      <c r="G106" s="18">
        <v>16227167.91492</v>
      </c>
      <c r="H106" s="11">
        <v>1.720612009833735</v>
      </c>
      <c r="J106" s="4">
        <v>18465846</v>
      </c>
      <c r="K106" s="4">
        <v>28824135.199999999</v>
      </c>
      <c r="L106" s="11">
        <v>3.2358662008706074E-2</v>
      </c>
      <c r="M106" s="6">
        <v>10358289.199999999</v>
      </c>
      <c r="N106" s="11">
        <v>1.560943116280727</v>
      </c>
      <c r="O106" s="18">
        <v>18465845.970000003</v>
      </c>
      <c r="P106" s="11">
        <v>1.5609431188166678</v>
      </c>
    </row>
    <row r="107" spans="1:16" x14ac:dyDescent="0.3">
      <c r="A107" s="10" t="s">
        <v>84</v>
      </c>
      <c r="B107" s="3" t="s">
        <v>755</v>
      </c>
      <c r="C107" s="4">
        <v>29782664</v>
      </c>
      <c r="D107" s="4">
        <v>44022343.910000004</v>
      </c>
      <c r="E107" s="6">
        <v>14239679.910000004</v>
      </c>
      <c r="F107" s="11">
        <v>1.4781197514768996</v>
      </c>
      <c r="G107" s="18">
        <v>29129978.330000002</v>
      </c>
      <c r="H107" s="11">
        <v>1.511238470941904</v>
      </c>
      <c r="J107" s="4">
        <v>31528951</v>
      </c>
      <c r="K107" s="4">
        <v>45785520.93</v>
      </c>
      <c r="L107" s="11">
        <v>4.0051866016145431E-2</v>
      </c>
      <c r="M107" s="6">
        <v>14256569.93</v>
      </c>
      <c r="N107" s="11">
        <v>1.4521739378515954</v>
      </c>
      <c r="O107" s="18">
        <v>31528951.400000002</v>
      </c>
      <c r="P107" s="11">
        <v>1.4521739194282242</v>
      </c>
    </row>
    <row r="108" spans="1:16" x14ac:dyDescent="0.3">
      <c r="A108" s="10" t="s">
        <v>85</v>
      </c>
      <c r="B108" s="3" t="s">
        <v>756</v>
      </c>
      <c r="C108" s="4">
        <v>232665678</v>
      </c>
      <c r="D108" s="4">
        <v>241290483.59874767</v>
      </c>
      <c r="E108" s="6">
        <v>8624805.5987476707</v>
      </c>
      <c r="F108" s="11">
        <v>1.0370695225565143</v>
      </c>
      <c r="G108" s="18">
        <v>232660515.38</v>
      </c>
      <c r="H108" s="11">
        <v>1.0370925346084294</v>
      </c>
      <c r="J108" s="4">
        <v>257876445</v>
      </c>
      <c r="K108" s="4">
        <v>258452136.55200002</v>
      </c>
      <c r="L108" s="11">
        <v>7.1124450070692374E-2</v>
      </c>
      <c r="M108" s="6">
        <v>575691.55200001597</v>
      </c>
      <c r="N108" s="11">
        <v>1.0022324317058118</v>
      </c>
      <c r="O108" s="18">
        <v>257876444.75999999</v>
      </c>
      <c r="P108" s="11">
        <v>1.0022324326385676</v>
      </c>
    </row>
    <row r="109" spans="1:16" x14ac:dyDescent="0.3">
      <c r="A109" s="10" t="s">
        <v>86</v>
      </c>
      <c r="B109" s="3" t="s">
        <v>757</v>
      </c>
      <c r="C109" s="4"/>
      <c r="D109" s="4"/>
      <c r="E109" s="6"/>
      <c r="F109" s="11"/>
      <c r="G109" s="18"/>
      <c r="H109" s="11"/>
      <c r="J109" s="4"/>
      <c r="K109" s="4"/>
      <c r="L109" s="11"/>
      <c r="M109" s="6"/>
      <c r="N109" s="11"/>
      <c r="O109" s="18"/>
      <c r="P109" s="11"/>
    </row>
    <row r="110" spans="1:16" x14ac:dyDescent="0.3">
      <c r="A110" s="10" t="s">
        <v>438</v>
      </c>
      <c r="B110" s="3" t="s">
        <v>758</v>
      </c>
      <c r="C110" s="4">
        <v>18731996</v>
      </c>
      <c r="D110" s="4">
        <v>23919189.331993811</v>
      </c>
      <c r="E110" s="6">
        <v>5187193.3319938108</v>
      </c>
      <c r="F110" s="11">
        <v>1.2769162096764173</v>
      </c>
      <c r="G110" s="18">
        <v>18408485.399999999</v>
      </c>
      <c r="H110" s="11">
        <v>1.2993567266535579</v>
      </c>
      <c r="J110" s="4">
        <v>20056630</v>
      </c>
      <c r="K110" s="4">
        <v>24551226.597608566</v>
      </c>
      <c r="L110" s="11">
        <v>2.642385813508134E-2</v>
      </c>
      <c r="M110" s="6">
        <v>4494596.5976085663</v>
      </c>
      <c r="N110" s="11">
        <v>1.2240953040270757</v>
      </c>
      <c r="O110" s="18">
        <v>20056630.419999998</v>
      </c>
      <c r="P110" s="11">
        <v>1.2240952783936558</v>
      </c>
    </row>
    <row r="111" spans="1:16" x14ac:dyDescent="0.3">
      <c r="A111" s="10" t="s">
        <v>87</v>
      </c>
      <c r="B111" s="3" t="s">
        <v>759</v>
      </c>
      <c r="C111" s="4">
        <v>269973692.24773109</v>
      </c>
      <c r="D111" s="4">
        <v>268716513.14646006</v>
      </c>
      <c r="E111" s="6">
        <v>-1257179.1012710333</v>
      </c>
      <c r="F111" s="11">
        <v>0.99534332737829345</v>
      </c>
      <c r="G111" s="18">
        <v>268344427.44</v>
      </c>
      <c r="H111" s="11">
        <v>1.0013865974785083</v>
      </c>
      <c r="J111" s="4">
        <v>300997776.10127103</v>
      </c>
      <c r="K111" s="4">
        <v>301859976.53801727</v>
      </c>
      <c r="L111" s="11">
        <v>0.12333988337178538</v>
      </c>
      <c r="M111" s="6">
        <v>862200.43674623966</v>
      </c>
      <c r="N111" s="11">
        <v>1.0028644744420177</v>
      </c>
      <c r="O111" s="18">
        <v>299740597.38000005</v>
      </c>
      <c r="P111" s="11">
        <v>1.0070707110633077</v>
      </c>
    </row>
    <row r="112" spans="1:16" x14ac:dyDescent="0.3">
      <c r="A112" s="10" t="s">
        <v>88</v>
      </c>
      <c r="B112" s="3" t="s">
        <v>760</v>
      </c>
      <c r="C112" s="4">
        <v>24211035</v>
      </c>
      <c r="D112" s="4">
        <v>35878817.299999997</v>
      </c>
      <c r="E112" s="6">
        <v>11667782.299999997</v>
      </c>
      <c r="F112" s="11">
        <v>1.4819200129197285</v>
      </c>
      <c r="G112" s="18">
        <v>23928671.94923</v>
      </c>
      <c r="H112" s="11">
        <v>1.499406961494766</v>
      </c>
      <c r="J112" s="4">
        <v>25488528</v>
      </c>
      <c r="K112" s="4">
        <v>37291928.351999998</v>
      </c>
      <c r="L112" s="11">
        <v>3.9385664253765724E-2</v>
      </c>
      <c r="M112" s="6">
        <v>11803400.351999998</v>
      </c>
      <c r="N112" s="11">
        <v>1.4630867797465588</v>
      </c>
      <c r="O112" s="18">
        <v>25488528.222080003</v>
      </c>
      <c r="P112" s="11">
        <v>1.4630867669987724</v>
      </c>
    </row>
    <row r="113" spans="1:16" x14ac:dyDescent="0.3">
      <c r="A113" s="10" t="s">
        <v>89</v>
      </c>
      <c r="B113" s="3" t="s">
        <v>761</v>
      </c>
      <c r="C113" s="4">
        <v>99196109</v>
      </c>
      <c r="D113" s="4">
        <v>99382735.367729872</v>
      </c>
      <c r="E113" s="6">
        <v>186626.36772987247</v>
      </c>
      <c r="F113" s="11">
        <v>1.0018813879859931</v>
      </c>
      <c r="G113" s="18">
        <v>97816216.363690004</v>
      </c>
      <c r="H113" s="11">
        <v>1.0160149212704712</v>
      </c>
      <c r="J113" s="4">
        <v>105452144</v>
      </c>
      <c r="K113" s="4">
        <v>103683205.42986767</v>
      </c>
      <c r="L113" s="11">
        <v>4.3271802151806982E-2</v>
      </c>
      <c r="M113" s="6">
        <v>-1768938.5701323301</v>
      </c>
      <c r="N113" s="11">
        <v>0.98322520052193219</v>
      </c>
      <c r="O113" s="18">
        <v>105452144.24998</v>
      </c>
      <c r="P113" s="11">
        <v>0.98322519819114373</v>
      </c>
    </row>
    <row r="114" spans="1:16" x14ac:dyDescent="0.3">
      <c r="A114" s="10" t="s">
        <v>90</v>
      </c>
      <c r="B114" s="3" t="s">
        <v>762</v>
      </c>
      <c r="C114" s="4">
        <v>48992878</v>
      </c>
      <c r="D114" s="4">
        <v>62647055.259999976</v>
      </c>
      <c r="E114" s="6">
        <v>13654177.259999976</v>
      </c>
      <c r="F114" s="11">
        <v>1.2786971865584214</v>
      </c>
      <c r="G114" s="18">
        <v>41585191.998259999</v>
      </c>
      <c r="H114" s="11">
        <v>1.5064750756139649</v>
      </c>
      <c r="J114" s="4">
        <v>50647455</v>
      </c>
      <c r="K114" s="4">
        <v>65733648.472000003</v>
      </c>
      <c r="L114" s="11">
        <v>4.9269565811033596E-2</v>
      </c>
      <c r="M114" s="6">
        <v>15086193.472000003</v>
      </c>
      <c r="N114" s="11">
        <v>1.2978667629400136</v>
      </c>
      <c r="O114" s="18">
        <v>43764978.669519998</v>
      </c>
      <c r="P114" s="11">
        <v>1.5019691650799325</v>
      </c>
    </row>
    <row r="115" spans="1:16" x14ac:dyDescent="0.3">
      <c r="A115" s="10" t="s">
        <v>91</v>
      </c>
      <c r="B115" s="3" t="s">
        <v>763</v>
      </c>
      <c r="C115" s="4">
        <v>30979769</v>
      </c>
      <c r="D115" s="4">
        <v>52502169.580000006</v>
      </c>
      <c r="E115" s="6">
        <v>21522400.580000006</v>
      </c>
      <c r="F115" s="11">
        <v>1.694724372541319</v>
      </c>
      <c r="G115" s="18">
        <v>30235711.089999996</v>
      </c>
      <c r="H115" s="11">
        <v>1.7364291325486405</v>
      </c>
      <c r="J115" s="4">
        <v>31697545</v>
      </c>
      <c r="K115" s="4">
        <v>55515581.740000002</v>
      </c>
      <c r="L115" s="11">
        <v>5.7395954950172481E-2</v>
      </c>
      <c r="M115" s="6">
        <v>23818036.740000002</v>
      </c>
      <c r="N115" s="11">
        <v>1.7514158191115432</v>
      </c>
      <c r="O115" s="18">
        <v>30912361.050000004</v>
      </c>
      <c r="P115" s="11">
        <v>1.7959023463204533</v>
      </c>
    </row>
    <row r="116" spans="1:16" x14ac:dyDescent="0.3">
      <c r="A116" s="10" t="s">
        <v>92</v>
      </c>
      <c r="B116" s="3" t="s">
        <v>764</v>
      </c>
      <c r="C116" s="4">
        <v>4481242</v>
      </c>
      <c r="D116" s="4">
        <v>7408353</v>
      </c>
      <c r="E116" s="6">
        <v>2927111</v>
      </c>
      <c r="F116" s="11">
        <v>1.653191905279831</v>
      </c>
      <c r="G116" s="18">
        <v>4374312.4499999993</v>
      </c>
      <c r="H116" s="11">
        <v>1.6936039856960838</v>
      </c>
      <c r="J116" s="4">
        <v>4816494</v>
      </c>
      <c r="K116" s="4">
        <v>7439521.5999999996</v>
      </c>
      <c r="L116" s="11">
        <v>4.2072239268295701E-3</v>
      </c>
      <c r="M116" s="6">
        <v>2623027.5999999996</v>
      </c>
      <c r="N116" s="11">
        <v>1.5445927265766344</v>
      </c>
      <c r="O116" s="18">
        <v>4816493.6300000008</v>
      </c>
      <c r="P116" s="11">
        <v>1.5445928452312723</v>
      </c>
    </row>
    <row r="117" spans="1:16" x14ac:dyDescent="0.3">
      <c r="A117" s="10" t="s">
        <v>93</v>
      </c>
      <c r="B117" s="3" t="s">
        <v>765</v>
      </c>
      <c r="C117" s="4">
        <v>69331528</v>
      </c>
      <c r="D117" s="4">
        <v>86178295.580090538</v>
      </c>
      <c r="E117" s="6">
        <v>16846767.580090538</v>
      </c>
      <c r="F117" s="11">
        <v>1.2429885517609036</v>
      </c>
      <c r="G117" s="18">
        <v>68784010.9164</v>
      </c>
      <c r="H117" s="11">
        <v>1.2528826747953319</v>
      </c>
      <c r="J117" s="4">
        <v>77315387</v>
      </c>
      <c r="K117" s="4">
        <v>89581379.261857584</v>
      </c>
      <c r="L117" s="11">
        <v>3.9488871981743494E-2</v>
      </c>
      <c r="M117" s="6">
        <v>12265992.261857584</v>
      </c>
      <c r="N117" s="11">
        <v>1.158648785679073</v>
      </c>
      <c r="O117" s="18">
        <v>77315386.541280001</v>
      </c>
      <c r="P117" s="11">
        <v>1.1586487925534532</v>
      </c>
    </row>
    <row r="118" spans="1:16" x14ac:dyDescent="0.3">
      <c r="A118" s="10" t="s">
        <v>94</v>
      </c>
      <c r="B118" s="3" t="s">
        <v>766</v>
      </c>
      <c r="C118" s="4">
        <v>50481178</v>
      </c>
      <c r="D118" s="4">
        <v>55271631.939999998</v>
      </c>
      <c r="E118" s="6">
        <v>4790453.9399999976</v>
      </c>
      <c r="F118" s="11">
        <v>1.0948958429615092</v>
      </c>
      <c r="G118" s="18">
        <v>43275872.179899998</v>
      </c>
      <c r="H118" s="11">
        <v>1.2771927902511824</v>
      </c>
      <c r="J118" s="4">
        <v>52297584</v>
      </c>
      <c r="K118" s="4">
        <v>60990451.519999996</v>
      </c>
      <c r="L118" s="11">
        <v>0.10346753622560033</v>
      </c>
      <c r="M118" s="6">
        <v>8692867.5199999958</v>
      </c>
      <c r="N118" s="11">
        <v>1.1662192945662651</v>
      </c>
      <c r="O118" s="18">
        <v>47025005.911919996</v>
      </c>
      <c r="P118" s="11">
        <v>1.2969791356164404</v>
      </c>
    </row>
    <row r="119" spans="1:16" x14ac:dyDescent="0.3">
      <c r="A119" s="10" t="s">
        <v>95</v>
      </c>
      <c r="B119" s="3" t="s">
        <v>767</v>
      </c>
      <c r="C119" s="4">
        <v>19726133</v>
      </c>
      <c r="D119" s="4">
        <v>31642558.218662314</v>
      </c>
      <c r="E119" s="6">
        <v>11916425.218662314</v>
      </c>
      <c r="F119" s="11">
        <v>1.6040933222270333</v>
      </c>
      <c r="G119" s="18">
        <v>18231111.670000002</v>
      </c>
      <c r="H119" s="11">
        <v>1.7356351489378108</v>
      </c>
      <c r="J119" s="4">
        <v>20516175</v>
      </c>
      <c r="K119" s="4">
        <v>37621518.933745414</v>
      </c>
      <c r="L119" s="11">
        <v>0.18895313943222192</v>
      </c>
      <c r="M119" s="6">
        <v>17105343.933745414</v>
      </c>
      <c r="N119" s="11">
        <v>1.8337491727256867</v>
      </c>
      <c r="O119" s="18">
        <v>19613343.369999997</v>
      </c>
      <c r="P119" s="11">
        <v>1.9181593991410053</v>
      </c>
    </row>
    <row r="120" spans="1:16" x14ac:dyDescent="0.3">
      <c r="A120" s="10" t="s">
        <v>96</v>
      </c>
      <c r="B120" s="3" t="s">
        <v>768</v>
      </c>
      <c r="C120" s="4">
        <v>4359828</v>
      </c>
      <c r="D120" s="4">
        <v>8966434.6626723092</v>
      </c>
      <c r="E120" s="6">
        <v>4606606.6626723092</v>
      </c>
      <c r="F120" s="11">
        <v>2.0566028436608761</v>
      </c>
      <c r="G120" s="18">
        <v>4252682.29</v>
      </c>
      <c r="H120" s="11">
        <v>2.1084186523306703</v>
      </c>
      <c r="J120" s="4">
        <v>4913934</v>
      </c>
      <c r="K120" s="4">
        <v>9182813.2337137628</v>
      </c>
      <c r="L120" s="11">
        <v>2.4132063543857385E-2</v>
      </c>
      <c r="M120" s="6">
        <v>4268879.2337137628</v>
      </c>
      <c r="N120" s="11">
        <v>1.868729460695598</v>
      </c>
      <c r="O120" s="18">
        <v>4913934.4400000004</v>
      </c>
      <c r="P120" s="11">
        <v>1.8687292933671622</v>
      </c>
    </row>
    <row r="121" spans="1:16" x14ac:dyDescent="0.3">
      <c r="A121" s="10" t="s">
        <v>97</v>
      </c>
      <c r="B121" s="3" t="s">
        <v>769</v>
      </c>
      <c r="C121" s="4">
        <v>16083653</v>
      </c>
      <c r="D121" s="4">
        <v>26494489.854945108</v>
      </c>
      <c r="E121" s="6">
        <v>10410836.854945108</v>
      </c>
      <c r="F121" s="11">
        <v>1.6472930530735219</v>
      </c>
      <c r="G121" s="18">
        <v>14868952.430520002</v>
      </c>
      <c r="H121" s="11">
        <v>1.781866609550955</v>
      </c>
      <c r="J121" s="4">
        <v>16951711</v>
      </c>
      <c r="K121" s="4">
        <v>27678747.84957815</v>
      </c>
      <c r="L121" s="11">
        <v>4.4698275041970791E-2</v>
      </c>
      <c r="M121" s="6">
        <v>10727036.84957815</v>
      </c>
      <c r="N121" s="11">
        <v>1.6327996536501921</v>
      </c>
      <c r="O121" s="18">
        <v>16124411.021999998</v>
      </c>
      <c r="P121" s="11">
        <v>1.7165741937372796</v>
      </c>
    </row>
    <row r="122" spans="1:16" x14ac:dyDescent="0.3">
      <c r="A122" s="10" t="s">
        <v>98</v>
      </c>
      <c r="B122" s="3" t="s">
        <v>770</v>
      </c>
      <c r="C122" s="4">
        <v>28161684</v>
      </c>
      <c r="D122" s="4">
        <v>42301196.169999994</v>
      </c>
      <c r="E122" s="6">
        <v>14139512.169999994</v>
      </c>
      <c r="F122" s="11">
        <v>1.502083333155787</v>
      </c>
      <c r="G122" s="18">
        <v>26424181.490199994</v>
      </c>
      <c r="H122" s="11">
        <v>1.6008517117432133</v>
      </c>
      <c r="J122" s="4">
        <v>29095977</v>
      </c>
      <c r="K122" s="4">
        <v>44371541.328000002</v>
      </c>
      <c r="L122" s="11">
        <v>4.8942945955469122E-2</v>
      </c>
      <c r="M122" s="6">
        <v>15275564.328000002</v>
      </c>
      <c r="N122" s="11">
        <v>1.5250060627969291</v>
      </c>
      <c r="O122" s="18">
        <v>28101468.769180004</v>
      </c>
      <c r="P122" s="11">
        <v>1.5789758781812868</v>
      </c>
    </row>
    <row r="123" spans="1:16" x14ac:dyDescent="0.3">
      <c r="A123" s="10" t="s">
        <v>439</v>
      </c>
      <c r="B123" s="3" t="s">
        <v>771</v>
      </c>
      <c r="C123" s="4">
        <v>61086493</v>
      </c>
      <c r="D123" s="4">
        <v>86201584.699088901</v>
      </c>
      <c r="E123" s="6">
        <v>25115091.699088901</v>
      </c>
      <c r="F123" s="11">
        <v>1.4111398521288314</v>
      </c>
      <c r="G123" s="18">
        <v>59164566.017499991</v>
      </c>
      <c r="H123" s="11">
        <v>1.4569799206097744</v>
      </c>
      <c r="J123" s="4">
        <v>64950374</v>
      </c>
      <c r="K123" s="4">
        <v>87623123.459843948</v>
      </c>
      <c r="L123" s="11">
        <v>1.6490865750523401E-2</v>
      </c>
      <c r="M123" s="6">
        <v>22672749.459843948</v>
      </c>
      <c r="N123" s="11">
        <v>1.3490780431817675</v>
      </c>
      <c r="O123" s="18">
        <v>64950374.201000012</v>
      </c>
      <c r="P123" s="11">
        <v>1.3490780390068153</v>
      </c>
    </row>
    <row r="124" spans="1:16" x14ac:dyDescent="0.3">
      <c r="A124" s="10" t="s">
        <v>99</v>
      </c>
      <c r="B124" s="3" t="s">
        <v>772</v>
      </c>
      <c r="C124" s="4">
        <v>27985641</v>
      </c>
      <c r="D124" s="4">
        <v>35096749.711609893</v>
      </c>
      <c r="E124" s="6">
        <v>7111108.7116098925</v>
      </c>
      <c r="F124" s="11">
        <v>1.254098475414942</v>
      </c>
      <c r="G124" s="18">
        <v>23134189.308129996</v>
      </c>
      <c r="H124" s="11">
        <v>1.5170944286893995</v>
      </c>
      <c r="J124" s="4">
        <v>29130894</v>
      </c>
      <c r="K124" s="4">
        <v>36629714.746315464</v>
      </c>
      <c r="L124" s="11">
        <v>4.3678262155383347E-2</v>
      </c>
      <c r="M124" s="6">
        <v>7498820.7463154644</v>
      </c>
      <c r="N124" s="11">
        <v>1.2574181467384924</v>
      </c>
      <c r="O124" s="18">
        <v>25231553.767439991</v>
      </c>
      <c r="P124" s="11">
        <v>1.4517423335848705</v>
      </c>
    </row>
    <row r="125" spans="1:16" x14ac:dyDescent="0.3">
      <c r="A125" s="10" t="s">
        <v>100</v>
      </c>
      <c r="B125" s="3" t="s">
        <v>773</v>
      </c>
      <c r="C125" s="4">
        <v>44779595</v>
      </c>
      <c r="D125" s="4">
        <v>49926991.342051104</v>
      </c>
      <c r="E125" s="6">
        <v>5147396.3420511037</v>
      </c>
      <c r="F125" s="11">
        <v>1.1149495957266051</v>
      </c>
      <c r="G125" s="18">
        <v>44344391.455760002</v>
      </c>
      <c r="H125" s="11">
        <v>1.1258919043203144</v>
      </c>
      <c r="J125" s="4">
        <v>47377571</v>
      </c>
      <c r="K125" s="4">
        <v>52913997.110810466</v>
      </c>
      <c r="L125" s="11">
        <v>5.9827473846667603E-2</v>
      </c>
      <c r="M125" s="6">
        <v>5536426.1108104661</v>
      </c>
      <c r="N125" s="11">
        <v>1.1168575339333133</v>
      </c>
      <c r="O125" s="18">
        <v>47377571.272</v>
      </c>
      <c r="P125" s="11">
        <v>1.116857527521308</v>
      </c>
    </row>
    <row r="126" spans="1:16" x14ac:dyDescent="0.3">
      <c r="A126" s="10" t="s">
        <v>101</v>
      </c>
      <c r="B126" s="3" t="s">
        <v>774</v>
      </c>
      <c r="C126" s="4">
        <v>89540204</v>
      </c>
      <c r="D126" s="4">
        <v>94221810.644886822</v>
      </c>
      <c r="E126" s="6">
        <v>4681606.6448868215</v>
      </c>
      <c r="F126" s="11">
        <v>1.052284967374955</v>
      </c>
      <c r="G126" s="18">
        <v>89379134.690000013</v>
      </c>
      <c r="H126" s="11">
        <v>1.0541812803590347</v>
      </c>
      <c r="J126" s="4">
        <v>99305682</v>
      </c>
      <c r="K126" s="4">
        <v>100908512.69963199</v>
      </c>
      <c r="L126" s="11">
        <v>7.0967666710913896E-2</v>
      </c>
      <c r="M126" s="6">
        <v>1602830.699631989</v>
      </c>
      <c r="N126" s="11">
        <v>1.0161403725079095</v>
      </c>
      <c r="O126" s="18">
        <v>99305681.999999985</v>
      </c>
      <c r="P126" s="11">
        <v>1.0161403725079095</v>
      </c>
    </row>
    <row r="127" spans="1:16" x14ac:dyDescent="0.3">
      <c r="A127" s="10" t="s">
        <v>102</v>
      </c>
      <c r="B127" s="3" t="s">
        <v>775</v>
      </c>
      <c r="C127" s="4">
        <v>37158860</v>
      </c>
      <c r="D127" s="4">
        <v>43988944.876076654</v>
      </c>
      <c r="E127" s="6">
        <v>6830084.8760766536</v>
      </c>
      <c r="F127" s="11">
        <v>1.1838077076658609</v>
      </c>
      <c r="G127" s="18">
        <v>35767383</v>
      </c>
      <c r="H127" s="11">
        <v>1.2298619911911546</v>
      </c>
      <c r="J127" s="4">
        <v>40901732</v>
      </c>
      <c r="K127" s="4">
        <v>49425605.706250161</v>
      </c>
      <c r="L127" s="11">
        <v>0.12359152613206302</v>
      </c>
      <c r="M127" s="6">
        <v>8523873.7062501609</v>
      </c>
      <c r="N127" s="11">
        <v>1.2083988449743439</v>
      </c>
      <c r="O127" s="18">
        <v>40901731.939999998</v>
      </c>
      <c r="P127" s="11">
        <v>1.2083988467469811</v>
      </c>
    </row>
    <row r="128" spans="1:16" x14ac:dyDescent="0.3">
      <c r="A128" s="10" t="s">
        <v>103</v>
      </c>
      <c r="B128" s="3" t="s">
        <v>776</v>
      </c>
      <c r="C128" s="4">
        <v>7400837</v>
      </c>
      <c r="D128" s="4">
        <v>12762769.787967194</v>
      </c>
      <c r="E128" s="6">
        <v>5361932.7879671939</v>
      </c>
      <c r="F128" s="11">
        <v>1.7245035646599423</v>
      </c>
      <c r="G128" s="18">
        <v>6927207.1538000004</v>
      </c>
      <c r="H128" s="11">
        <v>1.8424120290622501</v>
      </c>
      <c r="J128" s="4">
        <v>8108478</v>
      </c>
      <c r="K128" s="4">
        <v>14391288.298000762</v>
      </c>
      <c r="L128" s="11">
        <v>0.12759914478508766</v>
      </c>
      <c r="M128" s="6">
        <v>6282810.2980007622</v>
      </c>
      <c r="N128" s="11">
        <v>1.7748445883433071</v>
      </c>
      <c r="O128" s="18">
        <v>7809075.6739000008</v>
      </c>
      <c r="P128" s="11">
        <v>1.8428926673230046</v>
      </c>
    </row>
    <row r="129" spans="1:16" x14ac:dyDescent="0.3">
      <c r="A129" s="10" t="s">
        <v>104</v>
      </c>
      <c r="B129" s="3" t="s">
        <v>777</v>
      </c>
      <c r="C129" s="4">
        <v>58526188</v>
      </c>
      <c r="D129" s="4">
        <v>68252483.113588154</v>
      </c>
      <c r="E129" s="6">
        <v>9726295.1135881543</v>
      </c>
      <c r="F129" s="11">
        <v>1.1661870599463637</v>
      </c>
      <c r="G129" s="18">
        <v>58526188.083009996</v>
      </c>
      <c r="H129" s="11">
        <v>1.1661870582923148</v>
      </c>
      <c r="J129" s="4">
        <v>66524190</v>
      </c>
      <c r="K129" s="4">
        <v>75526302.995821908</v>
      </c>
      <c r="L129" s="11">
        <v>0.10657223811371683</v>
      </c>
      <c r="M129" s="6">
        <v>9002112.9958219081</v>
      </c>
      <c r="N129" s="11">
        <v>1.1353208959901941</v>
      </c>
      <c r="O129" s="18">
        <v>66524190.045280002</v>
      </c>
      <c r="P129" s="11">
        <v>1.1353208952174325</v>
      </c>
    </row>
    <row r="130" spans="1:16" x14ac:dyDescent="0.3">
      <c r="A130" s="10" t="s">
        <v>105</v>
      </c>
      <c r="B130" s="3" t="s">
        <v>778</v>
      </c>
      <c r="C130" s="4">
        <v>19976867</v>
      </c>
      <c r="D130" s="4">
        <v>27626692.28438095</v>
      </c>
      <c r="E130" s="6">
        <v>7649825.28438095</v>
      </c>
      <c r="F130" s="11">
        <v>1.3829341850441788</v>
      </c>
      <c r="G130" s="18">
        <v>19104092.829999998</v>
      </c>
      <c r="H130" s="11">
        <v>1.4461138003369383</v>
      </c>
      <c r="J130" s="4">
        <v>20915573</v>
      </c>
      <c r="K130" s="4">
        <v>28919098.861359693</v>
      </c>
      <c r="L130" s="11">
        <v>4.6781082717941562E-2</v>
      </c>
      <c r="M130" s="6">
        <v>8003525.8613596931</v>
      </c>
      <c r="N130" s="11">
        <v>1.3826586946176274</v>
      </c>
      <c r="O130" s="18">
        <v>20670955.990000002</v>
      </c>
      <c r="P130" s="11">
        <v>1.399020871378658</v>
      </c>
    </row>
    <row r="131" spans="1:16" x14ac:dyDescent="0.3">
      <c r="A131" s="10" t="s">
        <v>106</v>
      </c>
      <c r="B131" s="3" t="s">
        <v>779</v>
      </c>
      <c r="C131" s="4">
        <v>13958306</v>
      </c>
      <c r="D131" s="4">
        <v>20655259.973242678</v>
      </c>
      <c r="E131" s="6">
        <v>6696953.9732426777</v>
      </c>
      <c r="F131" s="11">
        <v>1.4797827167023476</v>
      </c>
      <c r="G131" s="18">
        <v>11844886.359460002</v>
      </c>
      <c r="H131" s="11">
        <v>1.7438124222058247</v>
      </c>
      <c r="J131" s="4">
        <v>14883765</v>
      </c>
      <c r="K131" s="4">
        <v>21975566.906154577</v>
      </c>
      <c r="L131" s="11">
        <v>6.3921099740320689E-2</v>
      </c>
      <c r="M131" s="6">
        <v>7091801.9061545767</v>
      </c>
      <c r="N131" s="11">
        <v>1.4764790297451336</v>
      </c>
      <c r="O131" s="18">
        <v>12954292.108449999</v>
      </c>
      <c r="P131" s="11">
        <v>1.6963927262239253</v>
      </c>
    </row>
    <row r="132" spans="1:16" x14ac:dyDescent="0.3">
      <c r="A132" s="10" t="s">
        <v>107</v>
      </c>
      <c r="B132" s="3" t="s">
        <v>780</v>
      </c>
      <c r="C132" s="4">
        <v>48454883</v>
      </c>
      <c r="D132" s="4">
        <v>66387422.930000007</v>
      </c>
      <c r="E132" s="6">
        <v>17932539.930000007</v>
      </c>
      <c r="F132" s="11">
        <v>1.3700873641568798</v>
      </c>
      <c r="G132" s="18">
        <v>48097215.820799999</v>
      </c>
      <c r="H132" s="11">
        <v>1.3802757976125983</v>
      </c>
      <c r="J132" s="4">
        <v>51259127</v>
      </c>
      <c r="K132" s="4">
        <v>70028754.304000005</v>
      </c>
      <c r="L132" s="11">
        <v>5.4849717209831714E-2</v>
      </c>
      <c r="M132" s="6">
        <v>18769627.304000005</v>
      </c>
      <c r="N132" s="11">
        <v>1.3661714196576153</v>
      </c>
      <c r="O132" s="18">
        <v>51259127.086869985</v>
      </c>
      <c r="P132" s="11">
        <v>1.3661714173423343</v>
      </c>
    </row>
    <row r="133" spans="1:16" x14ac:dyDescent="0.3">
      <c r="A133" s="10" t="s">
        <v>440</v>
      </c>
      <c r="B133" s="3" t="s">
        <v>781</v>
      </c>
      <c r="C133" s="4">
        <v>13575013</v>
      </c>
      <c r="D133" s="4">
        <v>14630590.113939691</v>
      </c>
      <c r="E133" s="6">
        <v>1055577.1139396913</v>
      </c>
      <c r="F133" s="11">
        <v>1.0777588289557949</v>
      </c>
      <c r="G133" s="18">
        <v>10403183.449999999</v>
      </c>
      <c r="H133" s="11">
        <v>1.406357023718513</v>
      </c>
      <c r="J133" s="4">
        <v>13883580</v>
      </c>
      <c r="K133" s="4">
        <v>14608498.983772226</v>
      </c>
      <c r="L133" s="11">
        <v>-1.5099274872322295E-3</v>
      </c>
      <c r="M133" s="6">
        <v>724918.98377222568</v>
      </c>
      <c r="N133" s="11">
        <v>1.0522141251588009</v>
      </c>
      <c r="O133" s="18">
        <v>11078294.98</v>
      </c>
      <c r="P133" s="11">
        <v>1.3186595058305828</v>
      </c>
    </row>
    <row r="134" spans="1:16" x14ac:dyDescent="0.3">
      <c r="A134" s="10" t="s">
        <v>108</v>
      </c>
      <c r="B134" s="3" t="s">
        <v>782</v>
      </c>
      <c r="C134" s="4">
        <v>2878958</v>
      </c>
      <c r="D134" s="4">
        <v>4428859.8009222327</v>
      </c>
      <c r="E134" s="6">
        <v>1549901.8009222327</v>
      </c>
      <c r="F134" s="11">
        <v>1.5383551274184037</v>
      </c>
      <c r="G134" s="18">
        <v>2845521.7600000002</v>
      </c>
      <c r="H134" s="11">
        <v>1.5564315350455209</v>
      </c>
      <c r="J134" s="4">
        <v>2902964</v>
      </c>
      <c r="K134" s="4">
        <v>4892190.9125161888</v>
      </c>
      <c r="L134" s="11">
        <v>0.10461634199788296</v>
      </c>
      <c r="M134" s="6">
        <v>1989226.9125161888</v>
      </c>
      <c r="N134" s="11">
        <v>1.6852399521717076</v>
      </c>
      <c r="O134" s="18">
        <v>2856293.17</v>
      </c>
      <c r="P134" s="11">
        <v>1.712776182746041</v>
      </c>
    </row>
    <row r="135" spans="1:16" x14ac:dyDescent="0.3">
      <c r="A135" s="10" t="s">
        <v>109</v>
      </c>
      <c r="B135" s="3" t="s">
        <v>783</v>
      </c>
      <c r="C135" s="4">
        <v>20233402</v>
      </c>
      <c r="D135" s="4">
        <v>39798147</v>
      </c>
      <c r="E135" s="6">
        <v>19564745</v>
      </c>
      <c r="F135" s="11">
        <v>1.9669528139657384</v>
      </c>
      <c r="G135" s="18">
        <v>20100924.599999998</v>
      </c>
      <c r="H135" s="11">
        <v>1.9799162372859209</v>
      </c>
      <c r="J135" s="4">
        <v>22613558</v>
      </c>
      <c r="K135" s="4">
        <v>43634899.200000003</v>
      </c>
      <c r="L135" s="11">
        <v>9.6405297462718628E-2</v>
      </c>
      <c r="M135" s="6">
        <v>21021341.200000003</v>
      </c>
      <c r="N135" s="11">
        <v>1.9295901688712587</v>
      </c>
      <c r="O135" s="18">
        <v>22613557.840000004</v>
      </c>
      <c r="P135" s="11">
        <v>1.9295901825238835</v>
      </c>
    </row>
    <row r="136" spans="1:16" x14ac:dyDescent="0.3">
      <c r="A136" s="10" t="s">
        <v>441</v>
      </c>
      <c r="B136" s="3" t="s">
        <v>784</v>
      </c>
      <c r="C136" s="4">
        <v>57825004</v>
      </c>
      <c r="D136" s="4">
        <v>89792737.37999998</v>
      </c>
      <c r="E136" s="6">
        <v>31967733.37999998</v>
      </c>
      <c r="F136" s="11">
        <v>1.5528358178756023</v>
      </c>
      <c r="G136" s="18">
        <v>57529966.215679981</v>
      </c>
      <c r="H136" s="11">
        <v>1.5607994109255479</v>
      </c>
      <c r="J136" s="4">
        <v>61356636</v>
      </c>
      <c r="K136" s="4">
        <v>95969281.790000007</v>
      </c>
      <c r="L136" s="11">
        <v>6.8786681308768749E-2</v>
      </c>
      <c r="M136" s="6">
        <v>34612645.790000007</v>
      </c>
      <c r="N136" s="11">
        <v>1.5641222864630324</v>
      </c>
      <c r="O136" s="18">
        <v>61356636.239639997</v>
      </c>
      <c r="P136" s="11">
        <v>1.5641222803540558</v>
      </c>
    </row>
    <row r="137" spans="1:16" x14ac:dyDescent="0.3">
      <c r="A137" s="10" t="s">
        <v>442</v>
      </c>
      <c r="B137" s="3" t="s">
        <v>785</v>
      </c>
      <c r="C137" s="4">
        <v>62967935</v>
      </c>
      <c r="D137" s="4">
        <v>112761386.54329863</v>
      </c>
      <c r="E137" s="6">
        <v>49793451.543298632</v>
      </c>
      <c r="F137" s="11">
        <v>1.7907747259505753</v>
      </c>
      <c r="G137" s="18">
        <v>62757965.939740002</v>
      </c>
      <c r="H137" s="11">
        <v>1.7967661133500048</v>
      </c>
      <c r="J137" s="4">
        <v>66681600</v>
      </c>
      <c r="K137" s="4">
        <v>118538647.13647491</v>
      </c>
      <c r="L137" s="11">
        <v>5.1234387677185016E-2</v>
      </c>
      <c r="M137" s="6">
        <v>51857047.136474907</v>
      </c>
      <c r="N137" s="11">
        <v>1.7776815063896922</v>
      </c>
      <c r="O137" s="18">
        <v>66681599.624000005</v>
      </c>
      <c r="P137" s="11">
        <v>1.7776815164135706</v>
      </c>
    </row>
    <row r="138" spans="1:16" x14ac:dyDescent="0.3">
      <c r="A138" s="10" t="s">
        <v>110</v>
      </c>
      <c r="B138" s="3" t="s">
        <v>786</v>
      </c>
      <c r="C138" s="4">
        <v>207315041.58977041</v>
      </c>
      <c r="D138" s="4">
        <v>213066945.10061982</v>
      </c>
      <c r="E138" s="6">
        <v>5751903.5108494163</v>
      </c>
      <c r="F138" s="11">
        <v>1.0277447476398318</v>
      </c>
      <c r="G138" s="18">
        <v>206188927.62000003</v>
      </c>
      <c r="H138" s="11">
        <v>1.0333578410829884</v>
      </c>
      <c r="J138" s="4">
        <v>233389315</v>
      </c>
      <c r="K138" s="4">
        <v>234611224.09243873</v>
      </c>
      <c r="L138" s="11">
        <v>0.10111506963994216</v>
      </c>
      <c r="M138" s="6">
        <v>1221909.0924387276</v>
      </c>
      <c r="N138" s="11">
        <v>1.0052354971453545</v>
      </c>
      <c r="O138" s="18">
        <v>233389315.13999999</v>
      </c>
      <c r="P138" s="11">
        <v>1.0052354965423578</v>
      </c>
    </row>
    <row r="139" spans="1:16" x14ac:dyDescent="0.3">
      <c r="A139" s="10" t="s">
        <v>111</v>
      </c>
      <c r="B139" s="3" t="s">
        <v>787</v>
      </c>
      <c r="C139" s="4">
        <v>24141136</v>
      </c>
      <c r="D139" s="4">
        <v>41203786.970000006</v>
      </c>
      <c r="E139" s="6">
        <v>17062650.970000006</v>
      </c>
      <c r="F139" s="11">
        <v>1.7067874092586202</v>
      </c>
      <c r="G139" s="18">
        <v>24047193.300000001</v>
      </c>
      <c r="H139" s="11">
        <v>1.71345514031361</v>
      </c>
      <c r="J139" s="4">
        <v>25407535</v>
      </c>
      <c r="K139" s="4">
        <v>42487164.962589771</v>
      </c>
      <c r="L139" s="11">
        <v>3.1147088337394248E-2</v>
      </c>
      <c r="M139" s="6">
        <v>17079629.962589771</v>
      </c>
      <c r="N139" s="11">
        <v>1.6722269579709237</v>
      </c>
      <c r="O139" s="18">
        <v>25407534.990000002</v>
      </c>
      <c r="P139" s="11">
        <v>1.6722269586290852</v>
      </c>
    </row>
    <row r="140" spans="1:16" x14ac:dyDescent="0.3">
      <c r="A140" s="10" t="s">
        <v>112</v>
      </c>
      <c r="B140" s="3" t="s">
        <v>788</v>
      </c>
      <c r="C140" s="4">
        <v>141645943</v>
      </c>
      <c r="D140" s="4">
        <v>260370453.19999999</v>
      </c>
      <c r="E140" s="6">
        <v>118724510.19999999</v>
      </c>
      <c r="F140" s="11">
        <v>1.8381779787367436</v>
      </c>
      <c r="G140" s="18">
        <v>140792530.04910001</v>
      </c>
      <c r="H140" s="11">
        <v>1.8493200818906965</v>
      </c>
      <c r="J140" s="4">
        <v>148653422</v>
      </c>
      <c r="K140" s="4">
        <v>267328232.248</v>
      </c>
      <c r="L140" s="11">
        <v>2.6722613731656738E-2</v>
      </c>
      <c r="M140" s="6">
        <v>118674810.248</v>
      </c>
      <c r="N140" s="11">
        <v>1.7983321786430184</v>
      </c>
      <c r="O140" s="18">
        <v>148413207.17159998</v>
      </c>
      <c r="P140" s="11">
        <v>1.8012428768479261</v>
      </c>
    </row>
    <row r="141" spans="1:16" x14ac:dyDescent="0.3">
      <c r="A141" s="10" t="s">
        <v>113</v>
      </c>
      <c r="B141" s="3" t="s">
        <v>789</v>
      </c>
      <c r="C141" s="4">
        <v>11827898</v>
      </c>
      <c r="D141" s="4">
        <v>15708134.776049407</v>
      </c>
      <c r="E141" s="6">
        <v>3880236.7760494072</v>
      </c>
      <c r="F141" s="11">
        <v>1.3280580180898929</v>
      </c>
      <c r="G141" s="18">
        <v>10190816.706399998</v>
      </c>
      <c r="H141" s="11">
        <v>1.5414009719343147</v>
      </c>
      <c r="J141" s="4">
        <v>12603993</v>
      </c>
      <c r="K141" s="4">
        <v>16599956.747807771</v>
      </c>
      <c r="L141" s="11">
        <v>5.6774530170071336E-2</v>
      </c>
      <c r="M141" s="6">
        <v>3995963.747807771</v>
      </c>
      <c r="N141" s="11">
        <v>1.3170395086547391</v>
      </c>
      <c r="O141" s="18">
        <v>11453635.647089999</v>
      </c>
      <c r="P141" s="11">
        <v>1.4493176890977222</v>
      </c>
    </row>
    <row r="142" spans="1:16" x14ac:dyDescent="0.3">
      <c r="A142" s="10" t="s">
        <v>114</v>
      </c>
      <c r="B142" s="3" t="s">
        <v>790</v>
      </c>
      <c r="C142" s="4">
        <v>18876463</v>
      </c>
      <c r="D142" s="4">
        <v>22317490.473673921</v>
      </c>
      <c r="E142" s="6">
        <v>3441027.4736739211</v>
      </c>
      <c r="F142" s="11">
        <v>1.1822919618825793</v>
      </c>
      <c r="G142" s="18">
        <v>17897202.07</v>
      </c>
      <c r="H142" s="11">
        <v>1.2469820917473677</v>
      </c>
      <c r="J142" s="4">
        <v>20196371</v>
      </c>
      <c r="K142" s="4">
        <v>24030780.299942773</v>
      </c>
      <c r="L142" s="11">
        <v>7.6768928311625212E-2</v>
      </c>
      <c r="M142" s="6">
        <v>3834409.2999427728</v>
      </c>
      <c r="N142" s="11">
        <v>1.1898563509227857</v>
      </c>
      <c r="O142" s="18">
        <v>20196370.640000001</v>
      </c>
      <c r="P142" s="11">
        <v>1.1898563721319571</v>
      </c>
    </row>
    <row r="143" spans="1:16" x14ac:dyDescent="0.3">
      <c r="A143" s="10" t="s">
        <v>115</v>
      </c>
      <c r="B143" s="3" t="s">
        <v>791</v>
      </c>
      <c r="C143" s="4">
        <v>32947860</v>
      </c>
      <c r="D143" s="4">
        <v>43716926.420000002</v>
      </c>
      <c r="E143" s="6">
        <v>10769066.420000002</v>
      </c>
      <c r="F143" s="11">
        <v>1.3268517718601451</v>
      </c>
      <c r="G143" s="18">
        <v>30678559.000000004</v>
      </c>
      <c r="H143" s="11">
        <v>1.4249993430265091</v>
      </c>
      <c r="J143" s="4">
        <v>34437564</v>
      </c>
      <c r="K143" s="4">
        <v>45428705.671999998</v>
      </c>
      <c r="L143" s="11">
        <v>3.9155983555533694E-2</v>
      </c>
      <c r="M143" s="6">
        <v>10991141.671999998</v>
      </c>
      <c r="N143" s="11">
        <v>1.3191614154822333</v>
      </c>
      <c r="O143" s="18">
        <v>33723796.18</v>
      </c>
      <c r="P143" s="11">
        <v>1.3470816105495749</v>
      </c>
    </row>
    <row r="144" spans="1:16" x14ac:dyDescent="0.3">
      <c r="A144" s="10" t="s">
        <v>116</v>
      </c>
      <c r="B144" s="3" t="s">
        <v>792</v>
      </c>
      <c r="C144" s="4">
        <v>51562160</v>
      </c>
      <c r="D144" s="4">
        <v>66762658.977947965</v>
      </c>
      <c r="E144" s="6">
        <v>15200498.977947965</v>
      </c>
      <c r="F144" s="11">
        <v>1.2947994998259957</v>
      </c>
      <c r="G144" s="18">
        <v>51229167.579999998</v>
      </c>
      <c r="H144" s="11">
        <v>1.3032157681205869</v>
      </c>
      <c r="J144" s="4">
        <v>54375769</v>
      </c>
      <c r="K144" s="4">
        <v>68881707.936000004</v>
      </c>
      <c r="L144" s="11">
        <v>3.1740032384749255E-2</v>
      </c>
      <c r="M144" s="6">
        <v>14505938.936000004</v>
      </c>
      <c r="N144" s="11">
        <v>1.2667721156458496</v>
      </c>
      <c r="O144" s="18">
        <v>54375769.079999991</v>
      </c>
      <c r="P144" s="11">
        <v>1.2667721137821195</v>
      </c>
    </row>
    <row r="145" spans="1:16" x14ac:dyDescent="0.3">
      <c r="A145" s="10" t="s">
        <v>443</v>
      </c>
      <c r="B145" s="3" t="s">
        <v>793</v>
      </c>
      <c r="C145" s="4">
        <v>49807109</v>
      </c>
      <c r="D145" s="4">
        <v>56550192.839156359</v>
      </c>
      <c r="E145" s="6">
        <v>6743083.8391563594</v>
      </c>
      <c r="F145" s="11">
        <v>1.1353839637461463</v>
      </c>
      <c r="G145" s="18">
        <v>45683012.360000007</v>
      </c>
      <c r="H145" s="11">
        <v>1.2378823093695905</v>
      </c>
      <c r="J145" s="4">
        <v>51630821</v>
      </c>
      <c r="K145" s="4">
        <v>62057017.972638048</v>
      </c>
      <c r="L145" s="11">
        <v>9.7379422721767722E-2</v>
      </c>
      <c r="M145" s="6">
        <v>10426196.972638048</v>
      </c>
      <c r="N145" s="11">
        <v>1.2019374623664816</v>
      </c>
      <c r="O145" s="18">
        <v>49368540.359999999</v>
      </c>
      <c r="P145" s="11">
        <v>1.2570154499224098</v>
      </c>
    </row>
    <row r="146" spans="1:16" x14ac:dyDescent="0.3">
      <c r="A146" s="10" t="s">
        <v>117</v>
      </c>
      <c r="B146" s="3" t="s">
        <v>794</v>
      </c>
      <c r="C146" s="4">
        <v>17491619</v>
      </c>
      <c r="D146" s="4">
        <v>29871663.830000002</v>
      </c>
      <c r="E146" s="6">
        <v>12380044.830000002</v>
      </c>
      <c r="F146" s="11">
        <v>1.7077700943520437</v>
      </c>
      <c r="G146" s="18">
        <v>16551243.649999999</v>
      </c>
      <c r="H146" s="11">
        <v>1.8047987487635109</v>
      </c>
      <c r="J146" s="4">
        <v>18717234</v>
      </c>
      <c r="K146" s="4">
        <v>31553839.380000003</v>
      </c>
      <c r="L146" s="11">
        <v>5.6313419954552316E-2</v>
      </c>
      <c r="M146" s="6">
        <v>12836605.380000003</v>
      </c>
      <c r="N146" s="11">
        <v>1.6858174332810074</v>
      </c>
      <c r="O146" s="18">
        <v>18027328.710000005</v>
      </c>
      <c r="P146" s="11">
        <v>1.7503336122393252</v>
      </c>
    </row>
    <row r="147" spans="1:16" x14ac:dyDescent="0.3">
      <c r="A147" s="10" t="s">
        <v>118</v>
      </c>
      <c r="B147" s="3" t="s">
        <v>795</v>
      </c>
      <c r="C147" s="4">
        <v>28564448</v>
      </c>
      <c r="D147" s="4">
        <v>29515069.060000002</v>
      </c>
      <c r="E147" s="6">
        <v>950621.06000000238</v>
      </c>
      <c r="F147" s="11">
        <v>1.0332798680373589</v>
      </c>
      <c r="G147" s="18">
        <v>24066339.760000002</v>
      </c>
      <c r="H147" s="11">
        <v>1.2264045697990262</v>
      </c>
      <c r="J147" s="4">
        <v>29416708</v>
      </c>
      <c r="K147" s="4">
        <v>30900631.456</v>
      </c>
      <c r="L147" s="11">
        <v>4.6944236965305537E-2</v>
      </c>
      <c r="M147" s="6">
        <v>1483923.4560000002</v>
      </c>
      <c r="N147" s="11">
        <v>1.0504449191255527</v>
      </c>
      <c r="O147" s="18">
        <v>26403426.609999999</v>
      </c>
      <c r="P147" s="11">
        <v>1.1703265607312021</v>
      </c>
    </row>
    <row r="148" spans="1:16" x14ac:dyDescent="0.3">
      <c r="A148" s="10" t="s">
        <v>119</v>
      </c>
      <c r="B148" s="3" t="s">
        <v>796</v>
      </c>
      <c r="C148" s="4">
        <v>7423416</v>
      </c>
      <c r="D148" s="4">
        <v>8338420.4893815778</v>
      </c>
      <c r="E148" s="6">
        <v>915004.48938157782</v>
      </c>
      <c r="F148" s="11">
        <v>1.1232592231637804</v>
      </c>
      <c r="G148" s="18">
        <v>6863578.7700000005</v>
      </c>
      <c r="H148" s="11">
        <v>1.2148794045794242</v>
      </c>
      <c r="J148" s="4">
        <v>7789173</v>
      </c>
      <c r="K148" s="4">
        <v>8431894.3535365891</v>
      </c>
      <c r="L148" s="11">
        <v>1.1210020443805152E-2</v>
      </c>
      <c r="M148" s="6">
        <v>642721.35353658907</v>
      </c>
      <c r="N148" s="11">
        <v>1.0825147102955075</v>
      </c>
      <c r="O148" s="18">
        <v>7789173.0300000003</v>
      </c>
      <c r="P148" s="11">
        <v>1.0825147061262022</v>
      </c>
    </row>
    <row r="149" spans="1:16" x14ac:dyDescent="0.3">
      <c r="A149" s="10" t="s">
        <v>120</v>
      </c>
      <c r="B149" s="3" t="s">
        <v>797</v>
      </c>
      <c r="C149" s="4">
        <v>27947592</v>
      </c>
      <c r="D149" s="4">
        <v>41079691.474380873</v>
      </c>
      <c r="E149" s="6">
        <v>13132099.474380873</v>
      </c>
      <c r="F149" s="11">
        <v>1.4698830394540208</v>
      </c>
      <c r="G149" s="18">
        <v>25122867.634200003</v>
      </c>
      <c r="H149" s="11">
        <v>1.6351513717509976</v>
      </c>
      <c r="J149" s="4">
        <v>29166756</v>
      </c>
      <c r="K149" s="4">
        <v>43285986.29781308</v>
      </c>
      <c r="L149" s="11">
        <v>5.3707677546900541E-2</v>
      </c>
      <c r="M149" s="6">
        <v>14119230.29781308</v>
      </c>
      <c r="N149" s="11">
        <v>1.4840864132374914</v>
      </c>
      <c r="O149" s="18">
        <v>27056349.750239998</v>
      </c>
      <c r="P149" s="11">
        <v>1.5998457551513992</v>
      </c>
    </row>
    <row r="150" spans="1:16" x14ac:dyDescent="0.3">
      <c r="A150" s="10" t="s">
        <v>121</v>
      </c>
      <c r="B150" s="3" t="s">
        <v>798</v>
      </c>
      <c r="C150" s="4">
        <v>31847899</v>
      </c>
      <c r="D150" s="4">
        <v>38154905.080917075</v>
      </c>
      <c r="E150" s="6">
        <v>6307006.0809170753</v>
      </c>
      <c r="F150" s="11">
        <v>1.1980352324314101</v>
      </c>
      <c r="G150" s="18">
        <v>26330388.290000003</v>
      </c>
      <c r="H150" s="11">
        <v>1.4490825072795412</v>
      </c>
      <c r="J150" s="4">
        <v>32994640</v>
      </c>
      <c r="K150" s="4">
        <v>39862907.090523332</v>
      </c>
      <c r="L150" s="11">
        <v>4.4764939291134627E-2</v>
      </c>
      <c r="M150" s="6">
        <v>6868267.0905233324</v>
      </c>
      <c r="N150" s="11">
        <v>1.208163116509934</v>
      </c>
      <c r="O150" s="18">
        <v>27305331.41</v>
      </c>
      <c r="P150" s="11">
        <v>1.4598946444548329</v>
      </c>
    </row>
    <row r="151" spans="1:16" x14ac:dyDescent="0.3">
      <c r="A151" s="10" t="s">
        <v>122</v>
      </c>
      <c r="B151" s="3" t="s">
        <v>799</v>
      </c>
      <c r="C151" s="4">
        <v>23354038</v>
      </c>
      <c r="D151" s="4">
        <v>35475030.597074218</v>
      </c>
      <c r="E151" s="6">
        <v>12120992.597074218</v>
      </c>
      <c r="F151" s="11">
        <v>1.5190105709802397</v>
      </c>
      <c r="G151" s="18">
        <v>23347458.345409997</v>
      </c>
      <c r="H151" s="11">
        <v>1.5194386503337931</v>
      </c>
      <c r="J151" s="4">
        <v>24690513</v>
      </c>
      <c r="K151" s="4">
        <v>37474853.379746884</v>
      </c>
      <c r="L151" s="11">
        <v>5.6372686619686814E-2</v>
      </c>
      <c r="M151" s="6">
        <v>12784340.379746884</v>
      </c>
      <c r="N151" s="11">
        <v>1.5177835057435576</v>
      </c>
      <c r="O151" s="18">
        <v>24690512.978599999</v>
      </c>
      <c r="P151" s="11">
        <v>1.5177835070590657</v>
      </c>
    </row>
    <row r="152" spans="1:16" x14ac:dyDescent="0.3">
      <c r="A152" s="10" t="s">
        <v>123</v>
      </c>
      <c r="B152" s="3" t="s">
        <v>800</v>
      </c>
      <c r="C152" s="4">
        <v>43819023</v>
      </c>
      <c r="D152" s="4">
        <v>64607276.912393607</v>
      </c>
      <c r="E152" s="6">
        <v>20788253.912393607</v>
      </c>
      <c r="F152" s="11">
        <v>1.4744116251152748</v>
      </c>
      <c r="G152" s="18">
        <v>43678902.616409995</v>
      </c>
      <c r="H152" s="11">
        <v>1.4791414857597842</v>
      </c>
      <c r="J152" s="4">
        <v>48677499</v>
      </c>
      <c r="K152" s="4">
        <v>69221051.175128847</v>
      </c>
      <c r="L152" s="11">
        <v>7.1412609898285004E-2</v>
      </c>
      <c r="M152" s="6">
        <v>20543552.175128847</v>
      </c>
      <c r="N152" s="11">
        <v>1.42203384720174</v>
      </c>
      <c r="O152" s="18">
        <v>48677498.672449999</v>
      </c>
      <c r="P152" s="11">
        <v>1.4220338567705797</v>
      </c>
    </row>
    <row r="153" spans="1:16" x14ac:dyDescent="0.3">
      <c r="A153" s="10" t="s">
        <v>444</v>
      </c>
      <c r="B153" s="3" t="s">
        <v>801</v>
      </c>
      <c r="C153" s="4">
        <v>5252037</v>
      </c>
      <c r="D153" s="4">
        <v>12120017.788369173</v>
      </c>
      <c r="E153" s="6">
        <v>6867980.7883691732</v>
      </c>
      <c r="F153" s="11">
        <v>2.3076794372105858</v>
      </c>
      <c r="G153" s="18">
        <v>5250477.3999999994</v>
      </c>
      <c r="H153" s="11">
        <v>2.3083649095164516</v>
      </c>
      <c r="J153" s="4">
        <v>6081567</v>
      </c>
      <c r="K153" s="4">
        <v>12065863.240238186</v>
      </c>
      <c r="L153" s="11">
        <v>-4.4681904826044038E-3</v>
      </c>
      <c r="M153" s="6">
        <v>5984296.240238186</v>
      </c>
      <c r="N153" s="11">
        <v>1.9840056420061123</v>
      </c>
      <c r="O153" s="18">
        <v>6081567.2300000004</v>
      </c>
      <c r="P153" s="11">
        <v>1.9840055669726082</v>
      </c>
    </row>
    <row r="154" spans="1:16" x14ac:dyDescent="0.3">
      <c r="A154" s="10" t="s">
        <v>124</v>
      </c>
      <c r="B154" s="3" t="s">
        <v>802</v>
      </c>
      <c r="C154" s="4">
        <v>7528322</v>
      </c>
      <c r="D154" s="4">
        <v>8078895.2000000002</v>
      </c>
      <c r="E154" s="6">
        <v>550573.20000000019</v>
      </c>
      <c r="F154" s="11">
        <v>1.0731335880691608</v>
      </c>
      <c r="G154" s="18">
        <v>6806427.04</v>
      </c>
      <c r="H154" s="11">
        <v>1.1869509733259405</v>
      </c>
      <c r="J154" s="4">
        <v>8547481</v>
      </c>
      <c r="K154" s="4">
        <v>8757328.648</v>
      </c>
      <c r="L154" s="11">
        <v>8.3976017908983375E-2</v>
      </c>
      <c r="M154" s="6">
        <v>209847.64800000004</v>
      </c>
      <c r="N154" s="11">
        <v>1.024550817720449</v>
      </c>
      <c r="O154" s="18">
        <v>8547480.9700000007</v>
      </c>
      <c r="P154" s="11">
        <v>1.0245508213164234</v>
      </c>
    </row>
    <row r="155" spans="1:16" x14ac:dyDescent="0.3">
      <c r="A155" s="10" t="s">
        <v>125</v>
      </c>
      <c r="B155" s="3" t="s">
        <v>803</v>
      </c>
      <c r="C155" s="4">
        <v>2185512</v>
      </c>
      <c r="D155" s="4">
        <v>5323024.5</v>
      </c>
      <c r="E155" s="6">
        <v>3137512.5</v>
      </c>
      <c r="F155" s="11">
        <v>2.4355960983055689</v>
      </c>
      <c r="G155" s="18">
        <v>2121258.23</v>
      </c>
      <c r="H155" s="11">
        <v>2.5093712895105655</v>
      </c>
      <c r="J155" s="4">
        <v>2314675</v>
      </c>
      <c r="K155" s="4">
        <v>5664227.2000000002</v>
      </c>
      <c r="L155" s="11">
        <v>6.4099404389365511E-2</v>
      </c>
      <c r="M155" s="6">
        <v>3349552.2</v>
      </c>
      <c r="N155" s="11">
        <v>2.4470939548748745</v>
      </c>
      <c r="O155" s="18">
        <v>2265527.7100000004</v>
      </c>
      <c r="P155" s="11">
        <v>2.5001800573871589</v>
      </c>
    </row>
    <row r="156" spans="1:16" x14ac:dyDescent="0.3">
      <c r="A156" s="10" t="s">
        <v>126</v>
      </c>
      <c r="B156" s="3" t="s">
        <v>804</v>
      </c>
      <c r="C156" s="4">
        <v>20694202</v>
      </c>
      <c r="D156" s="4">
        <v>21967880.581539545</v>
      </c>
      <c r="E156" s="6">
        <v>1273678.5815395452</v>
      </c>
      <c r="F156" s="11">
        <v>1.0615476055341271</v>
      </c>
      <c r="G156" s="18">
        <v>18679880.199999996</v>
      </c>
      <c r="H156" s="11">
        <v>1.1760182798998653</v>
      </c>
      <c r="J156" s="4">
        <v>21296673</v>
      </c>
      <c r="K156" s="4">
        <v>23109447.249719031</v>
      </c>
      <c r="L156" s="11">
        <v>5.1965261916927401E-2</v>
      </c>
      <c r="M156" s="6">
        <v>1812774.2497190312</v>
      </c>
      <c r="N156" s="11">
        <v>1.0851200678020942</v>
      </c>
      <c r="O156" s="18">
        <v>21026624.100000001</v>
      </c>
      <c r="P156" s="11">
        <v>1.0990564695413483</v>
      </c>
    </row>
    <row r="157" spans="1:16" x14ac:dyDescent="0.3">
      <c r="A157" s="10" t="s">
        <v>127</v>
      </c>
      <c r="B157" s="3" t="s">
        <v>805</v>
      </c>
      <c r="C157" s="4">
        <v>17746297</v>
      </c>
      <c r="D157" s="4">
        <v>19454848.769379396</v>
      </c>
      <c r="E157" s="6">
        <v>1708551.769379396</v>
      </c>
      <c r="F157" s="11">
        <v>1.096276522892601</v>
      </c>
      <c r="G157" s="18">
        <v>16709438.479999997</v>
      </c>
      <c r="H157" s="11">
        <v>1.1643029652172607</v>
      </c>
      <c r="J157" s="4">
        <v>18251117</v>
      </c>
      <c r="K157" s="4">
        <v>23941623.237504065</v>
      </c>
      <c r="L157" s="11">
        <v>0.23062499849325716</v>
      </c>
      <c r="M157" s="6">
        <v>5690506.237504065</v>
      </c>
      <c r="N157" s="11">
        <v>1.3117894777346539</v>
      </c>
      <c r="O157" s="18">
        <v>18251116.599999998</v>
      </c>
      <c r="P157" s="11">
        <v>1.3117895064844454</v>
      </c>
    </row>
    <row r="158" spans="1:16" x14ac:dyDescent="0.3">
      <c r="A158" s="10" t="s">
        <v>445</v>
      </c>
      <c r="B158" s="3" t="s">
        <v>806</v>
      </c>
      <c r="C158" s="4">
        <v>74033831</v>
      </c>
      <c r="D158" s="4">
        <v>81644692.062908053</v>
      </c>
      <c r="E158" s="6">
        <v>7610861.0629080534</v>
      </c>
      <c r="F158" s="11">
        <v>1.1028024750320979</v>
      </c>
      <c r="G158" s="18">
        <v>74033830.659999996</v>
      </c>
      <c r="H158" s="11">
        <v>1.1028024800967129</v>
      </c>
      <c r="J158" s="4">
        <v>83523634</v>
      </c>
      <c r="K158" s="4">
        <v>90425299.758000001</v>
      </c>
      <c r="L158" s="11">
        <v>0.1075465835344985</v>
      </c>
      <c r="M158" s="6">
        <v>6901665.7580000013</v>
      </c>
      <c r="N158" s="11">
        <v>1.0826312916174121</v>
      </c>
      <c r="O158" s="18">
        <v>83523634.23999998</v>
      </c>
      <c r="P158" s="11">
        <v>1.0826312885065383</v>
      </c>
    </row>
    <row r="159" spans="1:16" x14ac:dyDescent="0.3">
      <c r="A159" s="10" t="s">
        <v>128</v>
      </c>
      <c r="B159" s="3" t="s">
        <v>807</v>
      </c>
      <c r="C159" s="4">
        <v>886260</v>
      </c>
      <c r="D159" s="4">
        <v>2001656</v>
      </c>
      <c r="E159" s="6">
        <v>1115396</v>
      </c>
      <c r="F159" s="11">
        <v>2.258542639857378</v>
      </c>
      <c r="G159" s="18">
        <v>782638.4700000002</v>
      </c>
      <c r="H159" s="11">
        <v>2.5575742526431129</v>
      </c>
      <c r="J159" s="4">
        <v>880170</v>
      </c>
      <c r="K159" s="4">
        <v>2082257</v>
      </c>
      <c r="L159" s="11">
        <v>4.026715879251979E-2</v>
      </c>
      <c r="M159" s="6">
        <v>1202087</v>
      </c>
      <c r="N159" s="11">
        <v>2.3657441176136427</v>
      </c>
      <c r="O159" s="18">
        <v>789892.39999999991</v>
      </c>
      <c r="P159" s="11">
        <v>2.6361274016562257</v>
      </c>
    </row>
    <row r="160" spans="1:16" x14ac:dyDescent="0.3">
      <c r="A160" s="10" t="s">
        <v>129</v>
      </c>
      <c r="B160" s="3" t="s">
        <v>808</v>
      </c>
      <c r="C160" s="4">
        <v>35450303</v>
      </c>
      <c r="D160" s="4">
        <v>40881499.927910239</v>
      </c>
      <c r="E160" s="6">
        <v>5431196.9279102385</v>
      </c>
      <c r="F160" s="11">
        <v>1.1532059381244284</v>
      </c>
      <c r="G160" s="18">
        <v>31570380.367049992</v>
      </c>
      <c r="H160" s="11">
        <v>1.2949321310863351</v>
      </c>
      <c r="J160" s="4">
        <v>36565363</v>
      </c>
      <c r="K160" s="4">
        <v>42741217.697439462</v>
      </c>
      <c r="L160" s="11">
        <v>4.5490448560072873E-2</v>
      </c>
      <c r="M160" s="6">
        <v>6175854.6974394619</v>
      </c>
      <c r="N160" s="11">
        <v>1.1688990397125132</v>
      </c>
      <c r="O160" s="18">
        <v>33225728.808800004</v>
      </c>
      <c r="P160" s="11">
        <v>1.2863891697725298</v>
      </c>
    </row>
    <row r="161" spans="1:16" x14ac:dyDescent="0.3">
      <c r="A161" s="10" t="s">
        <v>130</v>
      </c>
      <c r="B161" s="3" t="s">
        <v>809</v>
      </c>
      <c r="C161" s="4">
        <v>1025931</v>
      </c>
      <c r="D161" s="4">
        <v>1690588.6800000002</v>
      </c>
      <c r="E161" s="6">
        <v>664657.68000000017</v>
      </c>
      <c r="F161" s="11">
        <v>1.6478580723265017</v>
      </c>
      <c r="G161" s="18">
        <v>859319.13</v>
      </c>
      <c r="H161" s="11">
        <v>1.9673583666175338</v>
      </c>
      <c r="J161" s="4">
        <v>994911</v>
      </c>
      <c r="K161" s="4">
        <v>2169408.2000000002</v>
      </c>
      <c r="L161" s="11">
        <v>0.28322650309003605</v>
      </c>
      <c r="M161" s="6">
        <v>1174497.2000000002</v>
      </c>
      <c r="N161" s="11">
        <v>2.1805047888705626</v>
      </c>
      <c r="O161" s="18">
        <v>934128.69</v>
      </c>
      <c r="P161" s="11">
        <v>2.3223868651331117</v>
      </c>
    </row>
    <row r="162" spans="1:16" x14ac:dyDescent="0.3">
      <c r="A162" s="10" t="s">
        <v>131</v>
      </c>
      <c r="B162" s="3" t="s">
        <v>810</v>
      </c>
      <c r="C162" s="4">
        <v>79110405</v>
      </c>
      <c r="D162" s="4">
        <v>94094558.182540342</v>
      </c>
      <c r="E162" s="6">
        <v>14984153.182540342</v>
      </c>
      <c r="F162" s="11">
        <v>1.1894081212520697</v>
      </c>
      <c r="G162" s="18">
        <v>79110404.659999996</v>
      </c>
      <c r="H162" s="11">
        <v>1.1894081263638976</v>
      </c>
      <c r="J162" s="4">
        <v>84729485</v>
      </c>
      <c r="K162" s="4">
        <v>101232686.39687392</v>
      </c>
      <c r="L162" s="11">
        <v>7.5861222500092362E-2</v>
      </c>
      <c r="M162" s="6">
        <v>16503201.396873921</v>
      </c>
      <c r="N162" s="11">
        <v>1.1947751883169586</v>
      </c>
      <c r="O162" s="18">
        <v>84729484.75</v>
      </c>
      <c r="P162" s="11">
        <v>1.1947751918422225</v>
      </c>
    </row>
    <row r="163" spans="1:16" x14ac:dyDescent="0.3">
      <c r="A163" s="10" t="s">
        <v>132</v>
      </c>
      <c r="B163" s="3" t="s">
        <v>811</v>
      </c>
      <c r="C163" s="4">
        <v>8221412</v>
      </c>
      <c r="D163" s="4">
        <v>10412954.718236793</v>
      </c>
      <c r="E163" s="6">
        <v>2191542.7182367928</v>
      </c>
      <c r="F163" s="11">
        <v>1.2665652467285173</v>
      </c>
      <c r="G163" s="18">
        <v>7127762.9100000001</v>
      </c>
      <c r="H163" s="11">
        <v>1.4609008253666496</v>
      </c>
      <c r="J163" s="4">
        <v>8772863</v>
      </c>
      <c r="K163" s="4">
        <v>10792773.25992267</v>
      </c>
      <c r="L163" s="11">
        <v>3.6475577966422902E-2</v>
      </c>
      <c r="M163" s="6">
        <v>2019910.2599226702</v>
      </c>
      <c r="N163" s="11">
        <v>1.2302452756782671</v>
      </c>
      <c r="O163" s="18">
        <v>8036459.790000001</v>
      </c>
      <c r="P163" s="11">
        <v>1.3429760792622181</v>
      </c>
    </row>
    <row r="164" spans="1:16" x14ac:dyDescent="0.3">
      <c r="A164" s="10" t="s">
        <v>133</v>
      </c>
      <c r="B164" s="3" t="s">
        <v>812</v>
      </c>
      <c r="C164" s="4">
        <v>101072080</v>
      </c>
      <c r="D164" s="4">
        <v>137107824.70802703</v>
      </c>
      <c r="E164" s="6">
        <v>36035744.708027035</v>
      </c>
      <c r="F164" s="11">
        <v>1.3565351055210009</v>
      </c>
      <c r="G164" s="18">
        <v>96767564.539159998</v>
      </c>
      <c r="H164" s="11">
        <v>1.4168779111159928</v>
      </c>
      <c r="J164" s="4">
        <v>106147933</v>
      </c>
      <c r="K164" s="4">
        <v>144650536.74842578</v>
      </c>
      <c r="L164" s="11">
        <v>5.5012994746733483E-2</v>
      </c>
      <c r="M164" s="6">
        <v>38502603.748425782</v>
      </c>
      <c r="N164" s="11">
        <v>1.3627258926316141</v>
      </c>
      <c r="O164" s="18">
        <v>104649211.54707</v>
      </c>
      <c r="P164" s="11">
        <v>1.3822420122426211</v>
      </c>
    </row>
    <row r="165" spans="1:16" x14ac:dyDescent="0.3">
      <c r="A165" s="10" t="s">
        <v>134</v>
      </c>
      <c r="B165" s="3" t="s">
        <v>813</v>
      </c>
      <c r="C165" s="4">
        <v>2530868</v>
      </c>
      <c r="D165" s="4">
        <v>4056160.06</v>
      </c>
      <c r="E165" s="6">
        <v>1525292.06</v>
      </c>
      <c r="F165" s="11">
        <v>1.6026754694436849</v>
      </c>
      <c r="G165" s="18">
        <v>2366031.9386399998</v>
      </c>
      <c r="H165" s="11">
        <v>1.7143302225799579</v>
      </c>
      <c r="J165" s="4">
        <v>2979879</v>
      </c>
      <c r="K165" s="4">
        <v>4331848.95</v>
      </c>
      <c r="L165" s="11">
        <v>6.7967951442231819E-2</v>
      </c>
      <c r="M165" s="6">
        <v>1351969.9500000002</v>
      </c>
      <c r="N165" s="11">
        <v>1.4536996133064464</v>
      </c>
      <c r="O165" s="18">
        <v>2979879.4445200004</v>
      </c>
      <c r="P165" s="11">
        <v>1.4536993964525218</v>
      </c>
    </row>
    <row r="166" spans="1:16" x14ac:dyDescent="0.3">
      <c r="A166" s="10" t="s">
        <v>135</v>
      </c>
      <c r="B166" s="3" t="s">
        <v>814</v>
      </c>
      <c r="C166" s="4">
        <v>1413960</v>
      </c>
      <c r="D166" s="4">
        <v>6045872.0499999998</v>
      </c>
      <c r="E166" s="6">
        <v>4631912.05</v>
      </c>
      <c r="F166" s="11">
        <v>4.2758437650287133</v>
      </c>
      <c r="G166" s="18">
        <v>1357829.1199999996</v>
      </c>
      <c r="H166" s="11">
        <v>4.4526015541631638</v>
      </c>
      <c r="J166" s="4">
        <v>1566002</v>
      </c>
      <c r="K166" s="4">
        <v>6532505.5199999996</v>
      </c>
      <c r="L166" s="11">
        <v>8.0490203228829452E-2</v>
      </c>
      <c r="M166" s="6">
        <v>4966503.5199999996</v>
      </c>
      <c r="N166" s="11">
        <v>4.1714541360739004</v>
      </c>
      <c r="O166" s="18">
        <v>1535068</v>
      </c>
      <c r="P166" s="11">
        <v>4.2555154038778733</v>
      </c>
    </row>
    <row r="167" spans="1:16" x14ac:dyDescent="0.3">
      <c r="A167" s="10" t="s">
        <v>136</v>
      </c>
      <c r="B167" s="3" t="s">
        <v>815</v>
      </c>
      <c r="C167" s="4">
        <v>138467853</v>
      </c>
      <c r="D167" s="4">
        <v>164430885.46148849</v>
      </c>
      <c r="E167" s="6">
        <v>25963032.461488485</v>
      </c>
      <c r="F167" s="11">
        <v>1.1875022389600314</v>
      </c>
      <c r="G167" s="18">
        <v>138447528.00444001</v>
      </c>
      <c r="H167" s="11">
        <v>1.1876765719949525</v>
      </c>
      <c r="J167" s="4">
        <v>146803428</v>
      </c>
      <c r="K167" s="4">
        <v>170798512.71519363</v>
      </c>
      <c r="L167" s="11">
        <v>3.8725250647613355E-2</v>
      </c>
      <c r="M167" s="6">
        <v>23995084.715193629</v>
      </c>
      <c r="N167" s="11">
        <v>1.1634504387403926</v>
      </c>
      <c r="O167" s="18">
        <v>146803428.35284004</v>
      </c>
      <c r="P167" s="11">
        <v>1.1634504359440554</v>
      </c>
    </row>
    <row r="168" spans="1:16" x14ac:dyDescent="0.3">
      <c r="A168" s="10" t="s">
        <v>446</v>
      </c>
      <c r="B168" s="3" t="s">
        <v>816</v>
      </c>
      <c r="C168" s="4">
        <v>44773911</v>
      </c>
      <c r="D168" s="4">
        <v>59254184.420000009</v>
      </c>
      <c r="E168" s="6">
        <v>14480273.420000009</v>
      </c>
      <c r="F168" s="11">
        <v>1.3234087238883379</v>
      </c>
      <c r="G168" s="18">
        <v>44771562.799199991</v>
      </c>
      <c r="H168" s="11">
        <v>1.3234781346756741</v>
      </c>
      <c r="J168" s="4">
        <v>47526056</v>
      </c>
      <c r="K168" s="4">
        <v>61743132.104000002</v>
      </c>
      <c r="L168" s="11">
        <v>4.2004589352847468E-2</v>
      </c>
      <c r="M168" s="6">
        <v>14217076.104000002</v>
      </c>
      <c r="N168" s="11">
        <v>1.2991427713673527</v>
      </c>
      <c r="O168" s="18">
        <v>47526055.611459993</v>
      </c>
      <c r="P168" s="11">
        <v>1.2991427819882413</v>
      </c>
    </row>
    <row r="169" spans="1:16" x14ac:dyDescent="0.3">
      <c r="A169" s="10" t="s">
        <v>137</v>
      </c>
      <c r="B169" s="3" t="s">
        <v>817</v>
      </c>
      <c r="C169" s="4">
        <v>45825918</v>
      </c>
      <c r="D169" s="4">
        <v>59475511.839999989</v>
      </c>
      <c r="E169" s="6">
        <v>13649593.839999989</v>
      </c>
      <c r="F169" s="11">
        <v>1.2978575102412566</v>
      </c>
      <c r="G169" s="18">
        <v>42274011.335760005</v>
      </c>
      <c r="H169" s="11">
        <v>1.40690485621574</v>
      </c>
      <c r="J169" s="4">
        <v>46812748</v>
      </c>
      <c r="K169" s="4">
        <v>61910955.088</v>
      </c>
      <c r="L169" s="11">
        <v>4.0948672363708256E-2</v>
      </c>
      <c r="M169" s="6">
        <v>15098207.088</v>
      </c>
      <c r="N169" s="11">
        <v>1.3225234093926723</v>
      </c>
      <c r="O169" s="18">
        <v>43201150.09262</v>
      </c>
      <c r="P169" s="11">
        <v>1.4330858080228788</v>
      </c>
    </row>
    <row r="170" spans="1:16" x14ac:dyDescent="0.3">
      <c r="A170" s="10" t="s">
        <v>138</v>
      </c>
      <c r="B170" s="3" t="s">
        <v>818</v>
      </c>
      <c r="C170" s="4">
        <v>119408964</v>
      </c>
      <c r="D170" s="4">
        <v>116309918.52956262</v>
      </c>
      <c r="E170" s="6">
        <v>-3099045.4704373777</v>
      </c>
      <c r="F170" s="11">
        <v>0.97404679375295999</v>
      </c>
      <c r="G170" s="18">
        <v>119408964.46437</v>
      </c>
      <c r="H170" s="11">
        <v>0.9740467899649855</v>
      </c>
      <c r="J170" s="4">
        <v>128561723.47043738</v>
      </c>
      <c r="K170" s="4">
        <v>134956976.24243906</v>
      </c>
      <c r="L170" s="11">
        <v>0.16032216296443277</v>
      </c>
      <c r="M170" s="6">
        <v>6395252.7720016837</v>
      </c>
      <c r="N170" s="11">
        <v>1.049744609821385</v>
      </c>
      <c r="O170" s="18">
        <v>125462677.79059999</v>
      </c>
      <c r="P170" s="11">
        <v>1.0756742851263328</v>
      </c>
    </row>
    <row r="171" spans="1:16" x14ac:dyDescent="0.3">
      <c r="A171" s="10" t="s">
        <v>139</v>
      </c>
      <c r="B171" s="3" t="s">
        <v>819</v>
      </c>
      <c r="C171" s="4">
        <v>1435779</v>
      </c>
      <c r="D171" s="4">
        <v>3567108.3800000004</v>
      </c>
      <c r="E171" s="6">
        <v>2131329.3800000004</v>
      </c>
      <c r="F171" s="11">
        <v>2.4844411152412733</v>
      </c>
      <c r="G171" s="18">
        <v>1294266.8799999999</v>
      </c>
      <c r="H171" s="11">
        <v>2.7560841084027436</v>
      </c>
      <c r="J171" s="4">
        <v>1633317</v>
      </c>
      <c r="K171" s="4">
        <v>4498242</v>
      </c>
      <c r="L171" s="11">
        <v>0.26103317331782322</v>
      </c>
      <c r="M171" s="6">
        <v>2864925</v>
      </c>
      <c r="N171" s="11">
        <v>2.7540532548182624</v>
      </c>
      <c r="O171" s="18">
        <v>1633317.1499999997</v>
      </c>
      <c r="P171" s="11">
        <v>2.7540530018924989</v>
      </c>
    </row>
    <row r="172" spans="1:16" x14ac:dyDescent="0.3">
      <c r="A172" s="10" t="s">
        <v>140</v>
      </c>
      <c r="B172" s="3" t="s">
        <v>820</v>
      </c>
      <c r="C172" s="4">
        <v>5589432</v>
      </c>
      <c r="D172" s="4">
        <v>7455875.1500000004</v>
      </c>
      <c r="E172" s="6">
        <v>1866443.1500000004</v>
      </c>
      <c r="F172" s="11">
        <v>1.3339235811438444</v>
      </c>
      <c r="G172" s="18">
        <v>5247585.0799999991</v>
      </c>
      <c r="H172" s="11">
        <v>1.4208202509029166</v>
      </c>
      <c r="J172" s="4">
        <v>6070731</v>
      </c>
      <c r="K172" s="4">
        <v>7533254.4000000004</v>
      </c>
      <c r="L172" s="11">
        <v>1.0378292077490059E-2</v>
      </c>
      <c r="M172" s="6">
        <v>1462523.4000000004</v>
      </c>
      <c r="N172" s="11">
        <v>1.2409138866472589</v>
      </c>
      <c r="O172" s="18">
        <v>6070731.0099999998</v>
      </c>
      <c r="P172" s="11">
        <v>1.240913884603166</v>
      </c>
    </row>
    <row r="173" spans="1:16" x14ac:dyDescent="0.3">
      <c r="A173" s="10" t="s">
        <v>141</v>
      </c>
      <c r="B173" s="3" t="s">
        <v>821</v>
      </c>
      <c r="C173" s="4">
        <v>29636842</v>
      </c>
      <c r="D173" s="4">
        <v>36496090.229013085</v>
      </c>
      <c r="E173" s="6">
        <v>6859248.2290130854</v>
      </c>
      <c r="F173" s="11">
        <v>1.2314432903820551</v>
      </c>
      <c r="G173" s="18">
        <v>29636842.031679999</v>
      </c>
      <c r="H173" s="11">
        <v>1.2314432890657163</v>
      </c>
      <c r="J173" s="4">
        <v>31695075</v>
      </c>
      <c r="K173" s="4">
        <v>38274740.315190986</v>
      </c>
      <c r="L173" s="11">
        <v>4.8735359733518446E-2</v>
      </c>
      <c r="M173" s="6">
        <v>6579665.3151909858</v>
      </c>
      <c r="N173" s="11">
        <v>1.2075926722114079</v>
      </c>
      <c r="O173" s="18">
        <v>31695075.426849995</v>
      </c>
      <c r="P173" s="11">
        <v>1.2075926559482844</v>
      </c>
    </row>
    <row r="174" spans="1:16" x14ac:dyDescent="0.3">
      <c r="A174" s="10" t="s">
        <v>142</v>
      </c>
      <c r="B174" s="3" t="s">
        <v>822</v>
      </c>
      <c r="C174" s="4">
        <v>7293605</v>
      </c>
      <c r="D174" s="4">
        <v>17227233</v>
      </c>
      <c r="E174" s="6">
        <v>9933628</v>
      </c>
      <c r="F174" s="11">
        <v>2.3619640767494263</v>
      </c>
      <c r="G174" s="18">
        <v>6998375.1413199985</v>
      </c>
      <c r="H174" s="11">
        <v>2.461604679961567</v>
      </c>
      <c r="J174" s="4">
        <v>7873655</v>
      </c>
      <c r="K174" s="4">
        <v>17532735</v>
      </c>
      <c r="L174" s="11">
        <v>1.7733666224866176E-2</v>
      </c>
      <c r="M174" s="6">
        <v>9659080</v>
      </c>
      <c r="N174" s="11">
        <v>2.226759363980261</v>
      </c>
      <c r="O174" s="18">
        <v>7658338.1696900008</v>
      </c>
      <c r="P174" s="11">
        <v>2.2893654747959116</v>
      </c>
    </row>
    <row r="175" spans="1:16" x14ac:dyDescent="0.3">
      <c r="A175" s="10" t="s">
        <v>143</v>
      </c>
      <c r="B175" s="3" t="s">
        <v>823</v>
      </c>
      <c r="C175" s="4">
        <v>620093</v>
      </c>
      <c r="D175" s="4">
        <v>2065147.0889999997</v>
      </c>
      <c r="E175" s="6">
        <v>1445054.0889999997</v>
      </c>
      <c r="F175" s="11">
        <v>3.3303828441862748</v>
      </c>
      <c r="G175" s="18">
        <v>580639.88</v>
      </c>
      <c r="H175" s="11">
        <v>3.5566745587643749</v>
      </c>
      <c r="J175" s="4">
        <v>710832</v>
      </c>
      <c r="K175" s="4">
        <v>2143344.25</v>
      </c>
      <c r="L175" s="11">
        <v>3.7865177457100892E-2</v>
      </c>
      <c r="M175" s="6">
        <v>1432512.25</v>
      </c>
      <c r="N175" s="11">
        <v>3.0152613416390932</v>
      </c>
      <c r="O175" s="18">
        <v>687426.26</v>
      </c>
      <c r="P175" s="11">
        <v>3.1179260594438158</v>
      </c>
    </row>
    <row r="176" spans="1:16" x14ac:dyDescent="0.3">
      <c r="A176" s="10" t="s">
        <v>144</v>
      </c>
      <c r="B176" s="3" t="s">
        <v>824</v>
      </c>
      <c r="C176" s="4">
        <v>62876841</v>
      </c>
      <c r="D176" s="4">
        <v>79465678.997895628</v>
      </c>
      <c r="E176" s="6">
        <v>16588837.997895628</v>
      </c>
      <c r="F176" s="11">
        <v>1.2638306526546972</v>
      </c>
      <c r="G176" s="18">
        <v>59973101.910000004</v>
      </c>
      <c r="H176" s="11">
        <v>1.3250219926450961</v>
      </c>
      <c r="J176" s="4">
        <v>65935095</v>
      </c>
      <c r="K176" s="4">
        <v>85001408.864000008</v>
      </c>
      <c r="L176" s="11">
        <v>6.9661896002310306E-2</v>
      </c>
      <c r="M176" s="6">
        <v>19066313.864000008</v>
      </c>
      <c r="N176" s="11">
        <v>1.2891679137491197</v>
      </c>
      <c r="O176" s="18">
        <v>62736825.24000001</v>
      </c>
      <c r="P176" s="11">
        <v>1.3548885927655205</v>
      </c>
    </row>
    <row r="177" spans="1:16" x14ac:dyDescent="0.3">
      <c r="A177" s="10" t="s">
        <v>145</v>
      </c>
      <c r="B177" s="3" t="s">
        <v>825</v>
      </c>
      <c r="C177" s="4">
        <v>30028284</v>
      </c>
      <c r="D177" s="4">
        <v>49006040.717054129</v>
      </c>
      <c r="E177" s="6">
        <v>18977756.717054129</v>
      </c>
      <c r="F177" s="11">
        <v>1.6319960446975301</v>
      </c>
      <c r="G177" s="18">
        <v>27638904.289999999</v>
      </c>
      <c r="H177" s="11">
        <v>1.7730818922074616</v>
      </c>
      <c r="J177" s="4">
        <v>30968373</v>
      </c>
      <c r="K177" s="4">
        <v>50714246.587117262</v>
      </c>
      <c r="L177" s="11">
        <v>3.4857047112330314E-2</v>
      </c>
      <c r="M177" s="6">
        <v>19745873.587117262</v>
      </c>
      <c r="N177" s="11">
        <v>1.6376141745359778</v>
      </c>
      <c r="O177" s="18">
        <v>29279714.52</v>
      </c>
      <c r="P177" s="11">
        <v>1.7320608284099235</v>
      </c>
    </row>
    <row r="178" spans="1:16" x14ac:dyDescent="0.3">
      <c r="A178" s="10" t="s">
        <v>146</v>
      </c>
      <c r="B178" s="3" t="s">
        <v>826</v>
      </c>
      <c r="C178" s="4">
        <v>32637721</v>
      </c>
      <c r="D178" s="4">
        <v>45258771.140905745</v>
      </c>
      <c r="E178" s="6">
        <v>12621050.140905745</v>
      </c>
      <c r="F178" s="11">
        <v>1.3867013306751947</v>
      </c>
      <c r="G178" s="18">
        <v>31864908.979999997</v>
      </c>
      <c r="H178" s="11">
        <v>1.4203326665490368</v>
      </c>
      <c r="J178" s="4">
        <v>37560632</v>
      </c>
      <c r="K178" s="4">
        <v>46129132.167999998</v>
      </c>
      <c r="L178" s="11">
        <v>1.9230770194456372E-2</v>
      </c>
      <c r="M178" s="6">
        <v>8568500.1679999977</v>
      </c>
      <c r="N178" s="11">
        <v>1.2281244939648512</v>
      </c>
      <c r="O178" s="18">
        <v>37560632.350000001</v>
      </c>
      <c r="P178" s="11">
        <v>1.2281244825208593</v>
      </c>
    </row>
    <row r="179" spans="1:16" x14ac:dyDescent="0.3">
      <c r="A179" s="10" t="s">
        <v>147</v>
      </c>
      <c r="B179" s="3" t="s">
        <v>827</v>
      </c>
      <c r="C179" s="4">
        <v>974901.5</v>
      </c>
      <c r="D179" s="4">
        <v>935969.9600000002</v>
      </c>
      <c r="E179" s="6">
        <v>-38931.539999999804</v>
      </c>
      <c r="F179" s="11">
        <v>0.960066181044957</v>
      </c>
      <c r="G179" s="18">
        <v>542332.33000000007</v>
      </c>
      <c r="H179" s="11">
        <v>1.7258236476516162</v>
      </c>
      <c r="J179" s="4">
        <v>986769.5399999998</v>
      </c>
      <c r="K179" s="4">
        <v>1024309.7519999999</v>
      </c>
      <c r="L179" s="11">
        <v>9.4383148792510016E-2</v>
      </c>
      <c r="M179" s="6">
        <v>37540.212000000058</v>
      </c>
      <c r="N179" s="11">
        <v>1.0380435456084305</v>
      </c>
      <c r="O179" s="18">
        <v>652497.02999999991</v>
      </c>
      <c r="P179" s="11">
        <v>1.5698305201481146</v>
      </c>
    </row>
    <row r="180" spans="1:16" x14ac:dyDescent="0.3">
      <c r="A180" s="10" t="s">
        <v>148</v>
      </c>
      <c r="B180" s="3" t="s">
        <v>828</v>
      </c>
      <c r="C180" s="4">
        <v>31602363</v>
      </c>
      <c r="D180" s="4">
        <v>48155625.720000006</v>
      </c>
      <c r="E180" s="6">
        <v>16553262.720000006</v>
      </c>
      <c r="F180" s="11">
        <v>1.5237982590099357</v>
      </c>
      <c r="G180" s="18">
        <v>30894315.612089995</v>
      </c>
      <c r="H180" s="11">
        <v>1.5587212328845075</v>
      </c>
      <c r="J180" s="4">
        <v>32882051</v>
      </c>
      <c r="K180" s="4">
        <v>49877888.850928001</v>
      </c>
      <c r="L180" s="11">
        <v>3.5764526058534925E-2</v>
      </c>
      <c r="M180" s="6">
        <v>16995837.850928001</v>
      </c>
      <c r="N180" s="11">
        <v>1.51687280245773</v>
      </c>
      <c r="O180" s="18">
        <v>32814594.939320002</v>
      </c>
      <c r="P180" s="11">
        <v>1.5199909961759714</v>
      </c>
    </row>
    <row r="181" spans="1:16" x14ac:dyDescent="0.3">
      <c r="A181" s="10" t="s">
        <v>149</v>
      </c>
      <c r="B181" s="3" t="s">
        <v>829</v>
      </c>
      <c r="C181" s="4">
        <v>23281396</v>
      </c>
      <c r="D181" s="4">
        <v>34669413.449264362</v>
      </c>
      <c r="E181" s="6">
        <v>11388017.449264362</v>
      </c>
      <c r="F181" s="11">
        <v>1.4891466752794533</v>
      </c>
      <c r="G181" s="18">
        <v>22858887.199999999</v>
      </c>
      <c r="H181" s="11">
        <v>1.5166710936508039</v>
      </c>
      <c r="J181" s="4">
        <v>24525300</v>
      </c>
      <c r="K181" s="4">
        <v>35601877.629724741</v>
      </c>
      <c r="L181" s="11">
        <v>2.6895874134846783E-2</v>
      </c>
      <c r="M181" s="6">
        <v>11076577.629724741</v>
      </c>
      <c r="N181" s="11">
        <v>1.4516388231632127</v>
      </c>
      <c r="O181" s="18">
        <v>24525300.480000004</v>
      </c>
      <c r="P181" s="11">
        <v>1.4516387947522809</v>
      </c>
    </row>
    <row r="182" spans="1:16" x14ac:dyDescent="0.3">
      <c r="A182" s="10" t="s">
        <v>150</v>
      </c>
      <c r="B182" s="3" t="s">
        <v>830</v>
      </c>
      <c r="C182" s="4">
        <v>39590771</v>
      </c>
      <c r="D182" s="4">
        <v>60009891.014957696</v>
      </c>
      <c r="E182" s="6">
        <v>20419120.014957696</v>
      </c>
      <c r="F182" s="11">
        <v>1.5157545432736761</v>
      </c>
      <c r="G182" s="18">
        <v>38638373.186679997</v>
      </c>
      <c r="H182" s="11">
        <v>1.5531163986905436</v>
      </c>
      <c r="J182" s="4">
        <v>42035594</v>
      </c>
      <c r="K182" s="4">
        <v>62987791.593116082</v>
      </c>
      <c r="L182" s="11">
        <v>4.9623495856976861E-2</v>
      </c>
      <c r="M182" s="6">
        <v>20952197.593116082</v>
      </c>
      <c r="N182" s="11">
        <v>1.4984394319042116</v>
      </c>
      <c r="O182" s="18">
        <v>42035594.013680004</v>
      </c>
      <c r="P182" s="11">
        <v>1.4984394314165614</v>
      </c>
    </row>
    <row r="183" spans="1:16" x14ac:dyDescent="0.3">
      <c r="A183" s="10" t="s">
        <v>151</v>
      </c>
      <c r="B183" s="3" t="s">
        <v>831</v>
      </c>
      <c r="C183" s="4">
        <v>4102923</v>
      </c>
      <c r="D183" s="4">
        <v>7899842.5</v>
      </c>
      <c r="E183" s="6">
        <v>3796919.5</v>
      </c>
      <c r="F183" s="11">
        <v>1.9254181713865943</v>
      </c>
      <c r="G183" s="18">
        <v>4092250.4348000004</v>
      </c>
      <c r="H183" s="11">
        <v>1.9304396507165591</v>
      </c>
      <c r="J183" s="4">
        <v>4431919</v>
      </c>
      <c r="K183" s="4">
        <v>8418524.4000000004</v>
      </c>
      <c r="L183" s="11">
        <v>6.5657245698252889E-2</v>
      </c>
      <c r="M183" s="6">
        <v>3986605.4000000004</v>
      </c>
      <c r="N183" s="11">
        <v>1.8995212683264293</v>
      </c>
      <c r="O183" s="18">
        <v>4431918.9769299999</v>
      </c>
      <c r="P183" s="11">
        <v>1.8995212782142354</v>
      </c>
    </row>
    <row r="184" spans="1:16" x14ac:dyDescent="0.3">
      <c r="A184" s="10" t="s">
        <v>152</v>
      </c>
      <c r="B184" s="3" t="s">
        <v>832</v>
      </c>
      <c r="C184" s="4">
        <v>72725121</v>
      </c>
      <c r="D184" s="4">
        <v>88360950.835546419</v>
      </c>
      <c r="E184" s="6">
        <v>15635829.835546419</v>
      </c>
      <c r="F184" s="11">
        <v>1.2149990212535557</v>
      </c>
      <c r="G184" s="18">
        <v>67854307.580000013</v>
      </c>
      <c r="H184" s="11">
        <v>1.3022157912578967</v>
      </c>
      <c r="J184" s="4">
        <v>75829595</v>
      </c>
      <c r="K184" s="4">
        <v>92568568.983976126</v>
      </c>
      <c r="L184" s="11">
        <v>4.7618525023126378E-2</v>
      </c>
      <c r="M184" s="6">
        <v>16738973.983976126</v>
      </c>
      <c r="N184" s="11">
        <v>1.2207446048469088</v>
      </c>
      <c r="O184" s="18">
        <v>70918716.61999999</v>
      </c>
      <c r="P184" s="11">
        <v>1.3052769902758026</v>
      </c>
    </row>
    <row r="185" spans="1:16" x14ac:dyDescent="0.3">
      <c r="A185" s="10" t="s">
        <v>153</v>
      </c>
      <c r="B185" s="3" t="s">
        <v>833</v>
      </c>
      <c r="C185" s="4">
        <v>1346739</v>
      </c>
      <c r="D185" s="4">
        <v>2935724.4159925636</v>
      </c>
      <c r="E185" s="6">
        <v>1588985.4159925636</v>
      </c>
      <c r="F185" s="11">
        <v>2.1798762907976701</v>
      </c>
      <c r="G185" s="18">
        <v>1167665.8499999999</v>
      </c>
      <c r="H185" s="11">
        <v>2.5141819605262619</v>
      </c>
      <c r="J185" s="4">
        <v>1358393</v>
      </c>
      <c r="K185" s="4">
        <v>3060611.2480000001</v>
      </c>
      <c r="L185" s="11">
        <v>4.2540379923642291E-2</v>
      </c>
      <c r="M185" s="6">
        <v>1702218.2480000001</v>
      </c>
      <c r="N185" s="11">
        <v>2.2531117636795832</v>
      </c>
      <c r="O185" s="18">
        <v>1228431.31</v>
      </c>
      <c r="P185" s="11">
        <v>2.4914793550809122</v>
      </c>
    </row>
    <row r="186" spans="1:16" x14ac:dyDescent="0.3">
      <c r="A186" s="10" t="s">
        <v>154</v>
      </c>
      <c r="B186" s="3" t="s">
        <v>834</v>
      </c>
      <c r="C186" s="4">
        <v>18494491</v>
      </c>
      <c r="D186" s="4">
        <v>26040764.91</v>
      </c>
      <c r="E186" s="6">
        <v>7546273.9100000001</v>
      </c>
      <c r="F186" s="11">
        <v>1.4080282020197257</v>
      </c>
      <c r="G186" s="18">
        <v>17923179.719999999</v>
      </c>
      <c r="H186" s="11">
        <v>1.45290988076975</v>
      </c>
      <c r="J186" s="4">
        <v>20421920</v>
      </c>
      <c r="K186" s="4">
        <v>27446079.704</v>
      </c>
      <c r="L186" s="11">
        <v>5.3965956793394353E-2</v>
      </c>
      <c r="M186" s="6">
        <v>7024159.7039999999</v>
      </c>
      <c r="N186" s="11">
        <v>1.3439519743491308</v>
      </c>
      <c r="O186" s="18">
        <v>20421920.32</v>
      </c>
      <c r="P186" s="11">
        <v>1.3439519532901596</v>
      </c>
    </row>
    <row r="187" spans="1:16" x14ac:dyDescent="0.3">
      <c r="A187" s="10" t="s">
        <v>155</v>
      </c>
      <c r="B187" s="3" t="s">
        <v>835</v>
      </c>
      <c r="C187" s="4">
        <v>83009999</v>
      </c>
      <c r="D187" s="4">
        <v>111637722.47281736</v>
      </c>
      <c r="E187" s="6">
        <v>28627723.472817361</v>
      </c>
      <c r="F187" s="11">
        <v>1.3448707844559469</v>
      </c>
      <c r="G187" s="18">
        <v>77023976.661080003</v>
      </c>
      <c r="H187" s="11">
        <v>1.4493892332259648</v>
      </c>
      <c r="J187" s="4">
        <v>87057296</v>
      </c>
      <c r="K187" s="4">
        <v>121291771.19541687</v>
      </c>
      <c r="L187" s="11">
        <v>8.6476582545386205E-2</v>
      </c>
      <c r="M187" s="6">
        <v>34234475.195416868</v>
      </c>
      <c r="N187" s="11">
        <v>1.3932407364848187</v>
      </c>
      <c r="O187" s="18">
        <v>80143330.545699999</v>
      </c>
      <c r="P187" s="11">
        <v>1.5134356205255641</v>
      </c>
    </row>
    <row r="188" spans="1:16" x14ac:dyDescent="0.3">
      <c r="A188" s="10" t="s">
        <v>156</v>
      </c>
      <c r="B188" s="3" t="s">
        <v>836</v>
      </c>
      <c r="C188" s="4">
        <v>6077774</v>
      </c>
      <c r="D188" s="4">
        <v>7215908.4143679421</v>
      </c>
      <c r="E188" s="6">
        <v>1138134.4143679421</v>
      </c>
      <c r="F188" s="11">
        <v>1.187261720223217</v>
      </c>
      <c r="G188" s="18">
        <v>5095671.4799999995</v>
      </c>
      <c r="H188" s="11">
        <v>1.4160858765502564</v>
      </c>
      <c r="J188" s="4">
        <v>6479711</v>
      </c>
      <c r="K188" s="4">
        <v>7635991.8270576224</v>
      </c>
      <c r="L188" s="11">
        <v>5.8216289421472139E-2</v>
      </c>
      <c r="M188" s="6">
        <v>1156280.8270576224</v>
      </c>
      <c r="N188" s="11">
        <v>1.1784463577245379</v>
      </c>
      <c r="O188" s="18">
        <v>5851647.4900000002</v>
      </c>
      <c r="P188" s="11">
        <v>1.3049302508578866</v>
      </c>
    </row>
    <row r="189" spans="1:16" x14ac:dyDescent="0.3">
      <c r="A189" s="10" t="s">
        <v>157</v>
      </c>
      <c r="B189" s="3" t="s">
        <v>837</v>
      </c>
      <c r="C189" s="4">
        <v>13107989</v>
      </c>
      <c r="D189" s="4">
        <v>26299270.75</v>
      </c>
      <c r="E189" s="6">
        <v>13191281.75</v>
      </c>
      <c r="F189" s="11">
        <v>2.0063543500074648</v>
      </c>
      <c r="G189" s="18">
        <v>12226979.455160001</v>
      </c>
      <c r="H189" s="11">
        <v>2.150921316785336</v>
      </c>
      <c r="J189" s="4">
        <v>13722844</v>
      </c>
      <c r="K189" s="4">
        <v>27136344.699999999</v>
      </c>
      <c r="L189" s="11">
        <v>3.1828789397135633E-2</v>
      </c>
      <c r="M189" s="6">
        <v>13413500.699999999</v>
      </c>
      <c r="N189" s="11">
        <v>1.9774577849897585</v>
      </c>
      <c r="O189" s="18">
        <v>13166912.130260002</v>
      </c>
      <c r="P189" s="11">
        <v>2.0609497831792813</v>
      </c>
    </row>
    <row r="190" spans="1:16" x14ac:dyDescent="0.3">
      <c r="A190" s="10" t="s">
        <v>449</v>
      </c>
      <c r="B190" s="3" t="s">
        <v>838</v>
      </c>
      <c r="C190" s="4">
        <v>31977787</v>
      </c>
      <c r="D190" s="4">
        <v>33333448.279929142</v>
      </c>
      <c r="E190" s="6">
        <v>1355661.2799291424</v>
      </c>
      <c r="F190" s="11">
        <v>1.0423938429488302</v>
      </c>
      <c r="G190" s="18">
        <v>31977786.810000002</v>
      </c>
      <c r="H190" s="11">
        <v>1.0423938491423428</v>
      </c>
      <c r="J190" s="4">
        <v>34733983</v>
      </c>
      <c r="K190" s="4">
        <v>34861880.680515893</v>
      </c>
      <c r="L190" s="11">
        <v>4.585281389885653E-2</v>
      </c>
      <c r="M190" s="6">
        <v>127897.6805158928</v>
      </c>
      <c r="N190" s="11">
        <v>1.0036822059973916</v>
      </c>
      <c r="O190" s="18">
        <v>34733982.75</v>
      </c>
      <c r="P190" s="11">
        <v>1.0036822132214565</v>
      </c>
    </row>
    <row r="191" spans="1:16" x14ac:dyDescent="0.3">
      <c r="A191" s="10" t="s">
        <v>158</v>
      </c>
      <c r="B191" s="3" t="s">
        <v>839</v>
      </c>
      <c r="C191" s="4">
        <v>22670405</v>
      </c>
      <c r="D191" s="4">
        <v>27849763.775679812</v>
      </c>
      <c r="E191" s="6">
        <v>5179358.7756798118</v>
      </c>
      <c r="F191" s="11">
        <v>1.228463442787185</v>
      </c>
      <c r="G191" s="18">
        <v>22281902.760000002</v>
      </c>
      <c r="H191" s="11">
        <v>1.2498826548006985</v>
      </c>
      <c r="J191" s="4">
        <v>24351461</v>
      </c>
      <c r="K191" s="4">
        <v>29102931.844802454</v>
      </c>
      <c r="L191" s="11">
        <v>4.4997439806544734E-2</v>
      </c>
      <c r="M191" s="6">
        <v>4751470.8448024541</v>
      </c>
      <c r="N191" s="11">
        <v>1.1951205656532253</v>
      </c>
      <c r="O191" s="18">
        <v>24351460.979999997</v>
      </c>
      <c r="P191" s="11">
        <v>1.1951205666347851</v>
      </c>
    </row>
    <row r="192" spans="1:16" x14ac:dyDescent="0.3">
      <c r="A192" s="10" t="s">
        <v>159</v>
      </c>
      <c r="B192" s="3" t="s">
        <v>840</v>
      </c>
      <c r="C192" s="4">
        <v>446524568</v>
      </c>
      <c r="D192" s="4">
        <v>446524574.68817866</v>
      </c>
      <c r="E192" s="6">
        <v>6.6881786584854126</v>
      </c>
      <c r="F192" s="11">
        <v>1.0000000149782993</v>
      </c>
      <c r="G192" s="18">
        <v>446524567.99999994</v>
      </c>
      <c r="H192" s="11">
        <v>1.0000000149782995</v>
      </c>
      <c r="J192" s="4">
        <v>483882872</v>
      </c>
      <c r="K192" s="4">
        <v>484137227.11923826</v>
      </c>
      <c r="L192" s="11">
        <v>8.4234227102339507E-2</v>
      </c>
      <c r="M192" s="6">
        <v>254355.11923825741</v>
      </c>
      <c r="N192" s="11">
        <v>1.0005256543142083</v>
      </c>
      <c r="O192" s="18">
        <v>483882872.08000004</v>
      </c>
      <c r="P192" s="11">
        <v>1.0005256541487919</v>
      </c>
    </row>
    <row r="193" spans="1:16" x14ac:dyDescent="0.3">
      <c r="A193" s="10" t="s">
        <v>160</v>
      </c>
      <c r="B193" s="3" t="s">
        <v>841</v>
      </c>
      <c r="C193" s="4">
        <v>27997944</v>
      </c>
      <c r="D193" s="4">
        <v>40966031.990857035</v>
      </c>
      <c r="E193" s="6">
        <v>12968087.990857035</v>
      </c>
      <c r="F193" s="11">
        <v>1.4631800103199375</v>
      </c>
      <c r="G193" s="18">
        <v>27721100.205059998</v>
      </c>
      <c r="H193" s="11">
        <v>1.477792428432527</v>
      </c>
      <c r="J193" s="4">
        <v>29345841</v>
      </c>
      <c r="K193" s="4">
        <v>43164417.001335695</v>
      </c>
      <c r="L193" s="11">
        <v>5.3663606252353287E-2</v>
      </c>
      <c r="M193" s="6">
        <v>13818576.001335695</v>
      </c>
      <c r="N193" s="11">
        <v>1.4708870330666515</v>
      </c>
      <c r="O193" s="18">
        <v>29345841.392800011</v>
      </c>
      <c r="P193" s="11">
        <v>1.4708870133785317</v>
      </c>
    </row>
    <row r="194" spans="1:16" x14ac:dyDescent="0.3">
      <c r="A194" s="10" t="s">
        <v>161</v>
      </c>
      <c r="B194" s="3" t="s">
        <v>842</v>
      </c>
      <c r="C194" s="4">
        <v>45081027</v>
      </c>
      <c r="D194" s="4">
        <v>57703816.795740813</v>
      </c>
      <c r="E194" s="6">
        <v>12622789.795740813</v>
      </c>
      <c r="F194" s="11">
        <v>1.2800022678219112</v>
      </c>
      <c r="G194" s="18">
        <v>44927626.417459995</v>
      </c>
      <c r="H194" s="11">
        <v>1.2843726988727735</v>
      </c>
      <c r="J194" s="4">
        <v>50610298</v>
      </c>
      <c r="K194" s="4">
        <v>63350766.35001073</v>
      </c>
      <c r="L194" s="11">
        <v>9.7860936552237307E-2</v>
      </c>
      <c r="M194" s="6">
        <v>12740468.35001073</v>
      </c>
      <c r="N194" s="11">
        <v>1.2517366791638083</v>
      </c>
      <c r="O194" s="18">
        <v>50610297.858939998</v>
      </c>
      <c r="P194" s="11">
        <v>1.2517366826526235</v>
      </c>
    </row>
    <row r="195" spans="1:16" x14ac:dyDescent="0.3">
      <c r="A195" s="10" t="s">
        <v>162</v>
      </c>
      <c r="B195" s="3" t="s">
        <v>843</v>
      </c>
      <c r="C195" s="4">
        <v>8941234</v>
      </c>
      <c r="D195" s="4">
        <v>13327043</v>
      </c>
      <c r="E195" s="6">
        <v>4385809</v>
      </c>
      <c r="F195" s="11">
        <v>1.4905149557656137</v>
      </c>
      <c r="G195" s="18">
        <v>8608625.4299999997</v>
      </c>
      <c r="H195" s="11">
        <v>1.5481034816031018</v>
      </c>
      <c r="J195" s="4">
        <v>9620722</v>
      </c>
      <c r="K195" s="4">
        <v>13791045.32</v>
      </c>
      <c r="L195" s="11">
        <v>3.4816599601276914E-2</v>
      </c>
      <c r="M195" s="6">
        <v>4170323.3200000003</v>
      </c>
      <c r="N195" s="11">
        <v>1.4334730096140393</v>
      </c>
      <c r="O195" s="18">
        <v>9620721.5300000012</v>
      </c>
      <c r="P195" s="11">
        <v>1.433473079643331</v>
      </c>
    </row>
    <row r="196" spans="1:16" x14ac:dyDescent="0.3">
      <c r="A196" s="10" t="s">
        <v>163</v>
      </c>
      <c r="B196" s="3" t="s">
        <v>844</v>
      </c>
      <c r="C196" s="4">
        <v>26170934</v>
      </c>
      <c r="D196" s="4">
        <v>47317190.448167756</v>
      </c>
      <c r="E196" s="6">
        <v>21146256.448167756</v>
      </c>
      <c r="F196" s="11">
        <v>1.8080054173140232</v>
      </c>
      <c r="G196" s="18">
        <v>25581450.369169995</v>
      </c>
      <c r="H196" s="11">
        <v>1.8496680119901658</v>
      </c>
      <c r="J196" s="4">
        <v>27102527</v>
      </c>
      <c r="K196" s="4">
        <v>47231179.52471111</v>
      </c>
      <c r="L196" s="11">
        <v>-1.8177521243756996E-3</v>
      </c>
      <c r="M196" s="6">
        <v>20128652.52471111</v>
      </c>
      <c r="N196" s="11">
        <v>1.7426854523458684</v>
      </c>
      <c r="O196" s="18">
        <v>26839555.450000003</v>
      </c>
      <c r="P196" s="11">
        <v>1.7597601276481316</v>
      </c>
    </row>
    <row r="197" spans="1:16" x14ac:dyDescent="0.3">
      <c r="A197" s="10" t="s">
        <v>164</v>
      </c>
      <c r="B197" s="3" t="s">
        <v>845</v>
      </c>
      <c r="C197" s="4">
        <v>2297140</v>
      </c>
      <c r="D197" s="4">
        <v>3561817.5333051467</v>
      </c>
      <c r="E197" s="6">
        <v>1264677.5333051467</v>
      </c>
      <c r="F197" s="11">
        <v>1.5505443870661548</v>
      </c>
      <c r="G197" s="18">
        <v>1721299.0999999999</v>
      </c>
      <c r="H197" s="11">
        <v>2.0692612534946115</v>
      </c>
      <c r="J197" s="4">
        <v>2462093</v>
      </c>
      <c r="K197" s="4">
        <v>3666782.8259262606</v>
      </c>
      <c r="L197" s="11">
        <v>2.9469587265384848E-2</v>
      </c>
      <c r="M197" s="6">
        <v>1204689.8259262606</v>
      </c>
      <c r="N197" s="11">
        <v>1.4892950127904432</v>
      </c>
      <c r="O197" s="18">
        <v>2091284.38</v>
      </c>
      <c r="P197" s="11">
        <v>1.7533640383840388</v>
      </c>
    </row>
    <row r="198" spans="1:16" x14ac:dyDescent="0.3">
      <c r="A198" s="10" t="s">
        <v>165</v>
      </c>
      <c r="B198" s="3" t="s">
        <v>846</v>
      </c>
      <c r="C198" s="4">
        <v>16609112</v>
      </c>
      <c r="D198" s="4">
        <v>20021113.735818509</v>
      </c>
      <c r="E198" s="6">
        <v>3412001.735818509</v>
      </c>
      <c r="F198" s="11">
        <v>1.2054295097665972</v>
      </c>
      <c r="G198" s="18">
        <v>13690363.949999999</v>
      </c>
      <c r="H198" s="11">
        <v>1.4624237755066045</v>
      </c>
      <c r="J198" s="4">
        <v>17221194</v>
      </c>
      <c r="K198" s="4">
        <v>20896750.788090084</v>
      </c>
      <c r="L198" s="11">
        <v>4.3735681432398428E-2</v>
      </c>
      <c r="M198" s="6">
        <v>3675556.7880900837</v>
      </c>
      <c r="N198" s="11">
        <v>1.2134321689942105</v>
      </c>
      <c r="O198" s="18">
        <v>14448148.280000001</v>
      </c>
      <c r="P198" s="11">
        <v>1.4463272651358809</v>
      </c>
    </row>
    <row r="199" spans="1:16" x14ac:dyDescent="0.3">
      <c r="A199" s="10" t="s">
        <v>166</v>
      </c>
      <c r="B199" s="3" t="s">
        <v>847</v>
      </c>
      <c r="C199" s="4">
        <v>23899307</v>
      </c>
      <c r="D199" s="4">
        <v>33952124.440052532</v>
      </c>
      <c r="E199" s="6">
        <v>10052817.440052532</v>
      </c>
      <c r="F199" s="11">
        <v>1.4206321731442895</v>
      </c>
      <c r="G199" s="18">
        <v>23502231.440000005</v>
      </c>
      <c r="H199" s="11">
        <v>1.4446340776930298</v>
      </c>
      <c r="J199" s="4">
        <v>24718648</v>
      </c>
      <c r="K199" s="4">
        <v>34919716.314043388</v>
      </c>
      <c r="L199" s="11">
        <v>2.8498713701974137E-2</v>
      </c>
      <c r="M199" s="6">
        <v>10201068.314043388</v>
      </c>
      <c r="N199" s="11">
        <v>1.4126871467259612</v>
      </c>
      <c r="O199" s="18">
        <v>24578055.190000001</v>
      </c>
      <c r="P199" s="11">
        <v>1.4207680812862307</v>
      </c>
    </row>
    <row r="200" spans="1:16" x14ac:dyDescent="0.3">
      <c r="A200" s="10" t="s">
        <v>167</v>
      </c>
      <c r="B200" s="3" t="s">
        <v>848</v>
      </c>
      <c r="C200" s="4">
        <v>23940769</v>
      </c>
      <c r="D200" s="4">
        <v>26523271.686362185</v>
      </c>
      <c r="E200" s="6">
        <v>2582502.6863621846</v>
      </c>
      <c r="F200" s="11">
        <v>1.1078704984941037</v>
      </c>
      <c r="G200" s="18">
        <v>23940769.109999999</v>
      </c>
      <c r="H200" s="11">
        <v>1.1078704934038013</v>
      </c>
      <c r="J200" s="4">
        <v>25270426</v>
      </c>
      <c r="K200" s="4">
        <v>28421268.116718788</v>
      </c>
      <c r="L200" s="11">
        <v>7.1559664765358508E-2</v>
      </c>
      <c r="M200" s="6">
        <v>3150842.1167187877</v>
      </c>
      <c r="N200" s="11">
        <v>1.1246849624426112</v>
      </c>
      <c r="O200" s="18">
        <v>25270425.829999994</v>
      </c>
      <c r="P200" s="11">
        <v>1.1246849700086274</v>
      </c>
    </row>
    <row r="201" spans="1:16" x14ac:dyDescent="0.3">
      <c r="A201" s="10" t="s">
        <v>168</v>
      </c>
      <c r="B201" s="3" t="s">
        <v>849</v>
      </c>
      <c r="C201" s="4">
        <v>107050855</v>
      </c>
      <c r="D201" s="4">
        <v>108534307.18217133</v>
      </c>
      <c r="E201" s="6">
        <v>1483452.1821713299</v>
      </c>
      <c r="F201" s="11">
        <v>1.0138574529103137</v>
      </c>
      <c r="G201" s="18">
        <v>107043467.58</v>
      </c>
      <c r="H201" s="11">
        <v>1.013927422531012</v>
      </c>
      <c r="J201" s="4">
        <v>118729148</v>
      </c>
      <c r="K201" s="4">
        <v>122251421.30370203</v>
      </c>
      <c r="L201" s="11">
        <v>0.12638505259454011</v>
      </c>
      <c r="M201" s="6">
        <v>3522273.3037020266</v>
      </c>
      <c r="N201" s="11">
        <v>1.0296664581784249</v>
      </c>
      <c r="O201" s="18">
        <v>118729147.73</v>
      </c>
      <c r="P201" s="11">
        <v>1.0296664605199723</v>
      </c>
    </row>
    <row r="202" spans="1:16" x14ac:dyDescent="0.3">
      <c r="A202" s="10" t="s">
        <v>169</v>
      </c>
      <c r="B202" s="3" t="s">
        <v>850</v>
      </c>
      <c r="C202" s="4">
        <v>43109720</v>
      </c>
      <c r="D202" s="4">
        <v>59994802.436628878</v>
      </c>
      <c r="E202" s="6">
        <v>16885082.436628878</v>
      </c>
      <c r="F202" s="11">
        <v>1.3916769219709355</v>
      </c>
      <c r="G202" s="18">
        <v>35982818.319999993</v>
      </c>
      <c r="H202" s="11">
        <v>1.6673180489389996</v>
      </c>
      <c r="J202" s="4">
        <v>44491629</v>
      </c>
      <c r="K202" s="4">
        <v>61419811.951018997</v>
      </c>
      <c r="L202" s="11">
        <v>2.3752216133977988E-2</v>
      </c>
      <c r="M202" s="6">
        <v>16928182.951018997</v>
      </c>
      <c r="N202" s="11">
        <v>1.3804801786650471</v>
      </c>
      <c r="O202" s="18">
        <v>38546581.100000001</v>
      </c>
      <c r="P202" s="11">
        <v>1.5933919480869081</v>
      </c>
    </row>
    <row r="203" spans="1:16" x14ac:dyDescent="0.3">
      <c r="A203" s="10" t="s">
        <v>454</v>
      </c>
      <c r="B203" s="3" t="s">
        <v>851</v>
      </c>
      <c r="C203" s="4">
        <v>4332485</v>
      </c>
      <c r="D203" s="4">
        <v>10437639.024842676</v>
      </c>
      <c r="E203" s="6">
        <v>6105154.0248426758</v>
      </c>
      <c r="F203" s="11">
        <v>2.4091575677336854</v>
      </c>
      <c r="G203" s="18">
        <v>4207932.1499999994</v>
      </c>
      <c r="H203" s="11">
        <v>2.4804675200959876</v>
      </c>
      <c r="J203" s="4">
        <v>4872086</v>
      </c>
      <c r="K203" s="4">
        <v>11144311.413999999</v>
      </c>
      <c r="L203" s="11">
        <v>6.7704237277737694E-2</v>
      </c>
      <c r="M203" s="6">
        <v>6272225.4139999989</v>
      </c>
      <c r="N203" s="11">
        <v>2.2873798643948402</v>
      </c>
      <c r="O203" s="18">
        <v>4872085.7</v>
      </c>
      <c r="P203" s="11">
        <v>2.2873800052408764</v>
      </c>
    </row>
    <row r="204" spans="1:16" x14ac:dyDescent="0.3">
      <c r="A204" s="10" t="s">
        <v>170</v>
      </c>
      <c r="B204" s="3" t="s">
        <v>852</v>
      </c>
      <c r="C204" s="4">
        <v>5861709</v>
      </c>
      <c r="D204" s="4">
        <v>10861290</v>
      </c>
      <c r="E204" s="6">
        <v>4999581</v>
      </c>
      <c r="F204" s="11">
        <v>1.8529220744325587</v>
      </c>
      <c r="G204" s="18">
        <v>5583546.5710300002</v>
      </c>
      <c r="H204" s="11">
        <v>1.9452313797028851</v>
      </c>
      <c r="J204" s="4">
        <v>6327129</v>
      </c>
      <c r="K204" s="4">
        <v>11344443</v>
      </c>
      <c r="L204" s="11">
        <v>4.4483942515115608E-2</v>
      </c>
      <c r="M204" s="6">
        <v>5017314</v>
      </c>
      <c r="N204" s="11">
        <v>1.7929843061521269</v>
      </c>
      <c r="O204" s="18">
        <v>6327129.1521899998</v>
      </c>
      <c r="P204" s="11">
        <v>1.7929842630244659</v>
      </c>
    </row>
    <row r="205" spans="1:16" x14ac:dyDescent="0.3">
      <c r="A205" s="10" t="s">
        <v>171</v>
      </c>
      <c r="B205" s="3" t="s">
        <v>853</v>
      </c>
      <c r="C205" s="4">
        <v>2267562</v>
      </c>
      <c r="D205" s="4">
        <v>6781648.6600000001</v>
      </c>
      <c r="E205" s="6">
        <v>4514086.66</v>
      </c>
      <c r="F205" s="11">
        <v>2.9907224852065788</v>
      </c>
      <c r="G205" s="18">
        <v>2253510.1199999996</v>
      </c>
      <c r="H205" s="11">
        <v>3.0093712913967305</v>
      </c>
      <c r="J205" s="4">
        <v>2331772</v>
      </c>
      <c r="K205" s="4">
        <v>6891323.8899999997</v>
      </c>
      <c r="L205" s="11">
        <v>1.6172355056801115E-2</v>
      </c>
      <c r="M205" s="6">
        <v>4559551.8899999997</v>
      </c>
      <c r="N205" s="11">
        <v>2.9554021104979387</v>
      </c>
      <c r="O205" s="18">
        <v>2317885.7700000005</v>
      </c>
      <c r="P205" s="11">
        <v>2.9731076393812099</v>
      </c>
    </row>
    <row r="206" spans="1:16" x14ac:dyDescent="0.3">
      <c r="A206" s="10" t="s">
        <v>172</v>
      </c>
      <c r="B206" s="3" t="s">
        <v>854</v>
      </c>
      <c r="C206" s="4">
        <v>20171110</v>
      </c>
      <c r="D206" s="4">
        <v>25363694.490000002</v>
      </c>
      <c r="E206" s="6">
        <v>5192584.4900000021</v>
      </c>
      <c r="F206" s="11">
        <v>1.2574268094319054</v>
      </c>
      <c r="G206" s="18">
        <v>18200500.57</v>
      </c>
      <c r="H206" s="11">
        <v>1.3935712587931313</v>
      </c>
      <c r="J206" s="4">
        <v>21059628</v>
      </c>
      <c r="K206" s="4">
        <v>27633457.655999999</v>
      </c>
      <c r="L206" s="11">
        <v>8.9488665261083469E-2</v>
      </c>
      <c r="M206" s="6">
        <v>6573829.6559999995</v>
      </c>
      <c r="N206" s="11">
        <v>1.3121531707967491</v>
      </c>
      <c r="O206" s="18">
        <v>20161771.900000002</v>
      </c>
      <c r="P206" s="11">
        <v>1.3705867615732721</v>
      </c>
    </row>
    <row r="207" spans="1:16" x14ac:dyDescent="0.3">
      <c r="A207" s="10" t="s">
        <v>173</v>
      </c>
      <c r="B207" s="3" t="s">
        <v>855</v>
      </c>
      <c r="C207" s="4">
        <v>22416564</v>
      </c>
      <c r="D207" s="4">
        <v>26125602.02</v>
      </c>
      <c r="E207" s="6">
        <v>3709038.0199999996</v>
      </c>
      <c r="F207" s="11">
        <v>1.165459702923249</v>
      </c>
      <c r="G207" s="18">
        <v>19398107.32</v>
      </c>
      <c r="H207" s="11">
        <v>1.3468119125758089</v>
      </c>
      <c r="J207" s="4">
        <v>23541922</v>
      </c>
      <c r="K207" s="4">
        <v>27799626.960000001</v>
      </c>
      <c r="L207" s="11">
        <v>6.4076033108001904E-2</v>
      </c>
      <c r="M207" s="6">
        <v>4257704.9600000009</v>
      </c>
      <c r="N207" s="11">
        <v>1.1808563022169558</v>
      </c>
      <c r="O207" s="18">
        <v>20484522.960000001</v>
      </c>
      <c r="P207" s="11">
        <v>1.3571039469302828</v>
      </c>
    </row>
    <row r="208" spans="1:16" x14ac:dyDescent="0.3">
      <c r="A208" s="10" t="s">
        <v>174</v>
      </c>
      <c r="B208" s="3" t="s">
        <v>856</v>
      </c>
      <c r="C208" s="4">
        <v>38723961</v>
      </c>
      <c r="D208" s="4">
        <v>57533004.560248815</v>
      </c>
      <c r="E208" s="6">
        <v>18809043.560248815</v>
      </c>
      <c r="F208" s="11">
        <v>1.485721064543186</v>
      </c>
      <c r="G208" s="18">
        <v>38638839.541639999</v>
      </c>
      <c r="H208" s="11">
        <v>1.4889941116954897</v>
      </c>
      <c r="J208" s="4">
        <v>40977611</v>
      </c>
      <c r="K208" s="4">
        <v>60151611.570857242</v>
      </c>
      <c r="L208" s="11">
        <v>4.5514866303674621E-2</v>
      </c>
      <c r="M208" s="6">
        <v>19174000.570857242</v>
      </c>
      <c r="N208" s="11">
        <v>1.4679140658262688</v>
      </c>
      <c r="O208" s="18">
        <v>40977611.282850005</v>
      </c>
      <c r="P208" s="11">
        <v>1.467914055693919</v>
      </c>
    </row>
    <row r="209" spans="1:16" x14ac:dyDescent="0.3">
      <c r="A209" s="10" t="s">
        <v>175</v>
      </c>
      <c r="B209" s="3" t="s">
        <v>857</v>
      </c>
      <c r="C209" s="4">
        <v>1569403</v>
      </c>
      <c r="D209" s="4">
        <v>2074121.9470688067</v>
      </c>
      <c r="E209" s="6">
        <v>504718.94706880674</v>
      </c>
      <c r="F209" s="11">
        <v>1.3215993260295837</v>
      </c>
      <c r="G209" s="18">
        <v>1543003.67</v>
      </c>
      <c r="H209" s="11">
        <v>1.3442106375993303</v>
      </c>
      <c r="J209" s="4">
        <v>1787636</v>
      </c>
      <c r="K209" s="4">
        <v>2287845.6085986481</v>
      </c>
      <c r="L209" s="11">
        <v>0.10304295841036742</v>
      </c>
      <c r="M209" s="6">
        <v>500209.6085986481</v>
      </c>
      <c r="N209" s="11">
        <v>1.2798162537556013</v>
      </c>
      <c r="O209" s="18">
        <v>1787635.85</v>
      </c>
      <c r="P209" s="11">
        <v>1.2798163611446078</v>
      </c>
    </row>
    <row r="210" spans="1:16" x14ac:dyDescent="0.3">
      <c r="A210" s="10" t="s">
        <v>176</v>
      </c>
      <c r="B210" s="3" t="s">
        <v>858</v>
      </c>
      <c r="C210" s="4">
        <v>41736532</v>
      </c>
      <c r="D210" s="4">
        <v>58914197.857943103</v>
      </c>
      <c r="E210" s="6">
        <v>17177665.857943103</v>
      </c>
      <c r="F210" s="11">
        <v>1.4115738667013134</v>
      </c>
      <c r="G210" s="18">
        <v>40749021.079649992</v>
      </c>
      <c r="H210" s="11">
        <v>1.4457819181174092</v>
      </c>
      <c r="J210" s="4">
        <v>43436142</v>
      </c>
      <c r="K210" s="4">
        <v>62140025.005669929</v>
      </c>
      <c r="L210" s="11">
        <v>5.4754664665130535E-2</v>
      </c>
      <c r="M210" s="6">
        <v>18703883.005669929</v>
      </c>
      <c r="N210" s="11">
        <v>1.430606452241314</v>
      </c>
      <c r="O210" s="18">
        <v>43228473.531800002</v>
      </c>
      <c r="P210" s="11">
        <v>1.4374790486172984</v>
      </c>
    </row>
    <row r="211" spans="1:16" x14ac:dyDescent="0.3">
      <c r="A211" s="10" t="s">
        <v>177</v>
      </c>
      <c r="B211" s="3" t="s">
        <v>859</v>
      </c>
      <c r="C211" s="4">
        <v>80986371</v>
      </c>
      <c r="D211" s="4">
        <v>120319594.74556622</v>
      </c>
      <c r="E211" s="6">
        <v>39333223.745566219</v>
      </c>
      <c r="F211" s="11">
        <v>1.4856770745483363</v>
      </c>
      <c r="G211" s="18">
        <v>79126547.643249989</v>
      </c>
      <c r="H211" s="11">
        <v>1.5205970477574635</v>
      </c>
      <c r="J211" s="4">
        <v>87977903</v>
      </c>
      <c r="K211" s="4">
        <v>128582694.39068463</v>
      </c>
      <c r="L211" s="11">
        <v>6.8676258946782323E-2</v>
      </c>
      <c r="M211" s="6">
        <v>40604791.390684634</v>
      </c>
      <c r="N211" s="11">
        <v>1.4615339762154211</v>
      </c>
      <c r="O211" s="18">
        <v>87977903.347709998</v>
      </c>
      <c r="P211" s="11">
        <v>1.4615339704390846</v>
      </c>
    </row>
    <row r="212" spans="1:16" x14ac:dyDescent="0.3">
      <c r="A212" s="10" t="s">
        <v>178</v>
      </c>
      <c r="B212" s="3" t="s">
        <v>860</v>
      </c>
      <c r="C212" s="4">
        <v>16595927</v>
      </c>
      <c r="D212" s="4">
        <v>18237282.632634472</v>
      </c>
      <c r="E212" s="6">
        <v>1641355.6326344721</v>
      </c>
      <c r="F212" s="11">
        <v>1.0989011118592213</v>
      </c>
      <c r="G212" s="18">
        <v>16595927.159999996</v>
      </c>
      <c r="H212" s="11">
        <v>1.0989011012648042</v>
      </c>
      <c r="J212" s="4">
        <v>17965623</v>
      </c>
      <c r="K212" s="4">
        <v>19095069.615614735</v>
      </c>
      <c r="L212" s="11">
        <v>4.7034802292601777E-2</v>
      </c>
      <c r="M212" s="6">
        <v>1129446.6156147346</v>
      </c>
      <c r="N212" s="11">
        <v>1.0628670998837466</v>
      </c>
      <c r="O212" s="18">
        <v>17965623.27</v>
      </c>
      <c r="P212" s="11">
        <v>1.0628670839102337</v>
      </c>
    </row>
    <row r="213" spans="1:16" x14ac:dyDescent="0.3">
      <c r="A213" s="10" t="s">
        <v>179</v>
      </c>
      <c r="B213" s="3" t="s">
        <v>861</v>
      </c>
      <c r="C213" s="4">
        <v>32458075</v>
      </c>
      <c r="D213" s="4">
        <v>40670670.865183212</v>
      </c>
      <c r="E213" s="6">
        <v>8212595.8651832119</v>
      </c>
      <c r="F213" s="11">
        <v>1.2530216553256228</v>
      </c>
      <c r="G213" s="18">
        <v>30246630.430000003</v>
      </c>
      <c r="H213" s="11">
        <v>1.3446347671456376</v>
      </c>
      <c r="J213" s="4">
        <v>34329630</v>
      </c>
      <c r="K213" s="4">
        <v>42367034.188201077</v>
      </c>
      <c r="L213" s="11">
        <v>4.1709745301252571E-2</v>
      </c>
      <c r="M213" s="6">
        <v>8037404.1882010773</v>
      </c>
      <c r="N213" s="11">
        <v>1.2341244047256286</v>
      </c>
      <c r="O213" s="18">
        <v>34329630.080000013</v>
      </c>
      <c r="P213" s="11">
        <v>1.2341244018496882</v>
      </c>
    </row>
    <row r="214" spans="1:16" x14ac:dyDescent="0.3">
      <c r="A214" s="10" t="s">
        <v>455</v>
      </c>
      <c r="B214" s="3" t="s">
        <v>862</v>
      </c>
      <c r="C214" s="4">
        <v>33668638</v>
      </c>
      <c r="D214" s="4">
        <v>60560018.336843468</v>
      </c>
      <c r="E214" s="6">
        <v>26891380.336843468</v>
      </c>
      <c r="F214" s="11">
        <v>1.7987071035318825</v>
      </c>
      <c r="G214" s="18">
        <v>33614343.104620002</v>
      </c>
      <c r="H214" s="11">
        <v>1.8016124292049609</v>
      </c>
      <c r="J214" s="4">
        <v>36321234</v>
      </c>
      <c r="K214" s="4">
        <v>65347329.856169894</v>
      </c>
      <c r="L214" s="11">
        <v>7.9050694679428865E-2</v>
      </c>
      <c r="M214" s="6">
        <v>29026095.856169894</v>
      </c>
      <c r="N214" s="11">
        <v>1.7991494963020775</v>
      </c>
      <c r="O214" s="18">
        <v>36321233.870360002</v>
      </c>
      <c r="P214" s="11">
        <v>1.7991495027237134</v>
      </c>
    </row>
    <row r="215" spans="1:16" x14ac:dyDescent="0.3">
      <c r="A215" s="10" t="s">
        <v>180</v>
      </c>
      <c r="B215" s="3" t="s">
        <v>863</v>
      </c>
      <c r="C215" s="4">
        <v>29276650</v>
      </c>
      <c r="D215" s="4">
        <v>52315426.160000004</v>
      </c>
      <c r="E215" s="6">
        <v>23038776.160000004</v>
      </c>
      <c r="F215" s="11">
        <v>1.786933483168327</v>
      </c>
      <c r="G215" s="18">
        <v>29175011.111419998</v>
      </c>
      <c r="H215" s="11">
        <v>1.7931587398615294</v>
      </c>
      <c r="J215" s="4">
        <v>30979999</v>
      </c>
      <c r="K215" s="4">
        <v>54564016.890000001</v>
      </c>
      <c r="L215" s="11">
        <v>4.2981409023085677E-2</v>
      </c>
      <c r="M215" s="6">
        <v>23584017.890000001</v>
      </c>
      <c r="N215" s="11">
        <v>1.761265934514717</v>
      </c>
      <c r="O215" s="18">
        <v>30979999.4738</v>
      </c>
      <c r="P215" s="11">
        <v>1.761265907578377</v>
      </c>
    </row>
    <row r="216" spans="1:16" x14ac:dyDescent="0.3">
      <c r="A216" s="10" t="s">
        <v>456</v>
      </c>
      <c r="B216" s="3" t="s">
        <v>864</v>
      </c>
      <c r="C216" s="4">
        <v>26213658</v>
      </c>
      <c r="D216" s="4">
        <v>29331661.838791687</v>
      </c>
      <c r="E216" s="6">
        <v>3118003.838791687</v>
      </c>
      <c r="F216" s="11">
        <v>1.1189457739469892</v>
      </c>
      <c r="G216" s="18">
        <v>25360639.029999997</v>
      </c>
      <c r="H216" s="11">
        <v>1.1565821272915964</v>
      </c>
      <c r="J216" s="4">
        <v>29048367</v>
      </c>
      <c r="K216" s="4">
        <v>31578810.808384903</v>
      </c>
      <c r="L216" s="11">
        <v>7.6611716783851577E-2</v>
      </c>
      <c r="M216" s="6">
        <v>2530443.8083849028</v>
      </c>
      <c r="N216" s="11">
        <v>1.0871113962580032</v>
      </c>
      <c r="O216" s="18">
        <v>29048367.420000002</v>
      </c>
      <c r="P216" s="11">
        <v>1.0871113805398465</v>
      </c>
    </row>
    <row r="217" spans="1:16" x14ac:dyDescent="0.3">
      <c r="A217" s="10" t="s">
        <v>181</v>
      </c>
      <c r="B217" s="3" t="s">
        <v>865</v>
      </c>
      <c r="C217" s="4">
        <v>50656381</v>
      </c>
      <c r="D217" s="4">
        <v>98048780.510226473</v>
      </c>
      <c r="E217" s="6">
        <v>47392399.510226473</v>
      </c>
      <c r="F217" s="11">
        <v>1.9355662322230731</v>
      </c>
      <c r="G217" s="18">
        <v>49998663.731600001</v>
      </c>
      <c r="H217" s="11">
        <v>1.9610280194000063</v>
      </c>
      <c r="J217" s="4">
        <v>51753573</v>
      </c>
      <c r="K217" s="4">
        <v>101518715.192</v>
      </c>
      <c r="L217" s="11">
        <v>3.5389881074671954E-2</v>
      </c>
      <c r="M217" s="6">
        <v>49765142.192000002</v>
      </c>
      <c r="N217" s="11">
        <v>1.9615788689990545</v>
      </c>
      <c r="O217" s="18">
        <v>51015282.939499997</v>
      </c>
      <c r="P217" s="11">
        <v>1.9899667186476844</v>
      </c>
    </row>
    <row r="218" spans="1:16" x14ac:dyDescent="0.3">
      <c r="A218" s="10" t="s">
        <v>182</v>
      </c>
      <c r="B218" s="3" t="s">
        <v>866</v>
      </c>
      <c r="C218" s="4">
        <v>1274903</v>
      </c>
      <c r="D218" s="4">
        <v>3684054.2199999997</v>
      </c>
      <c r="E218" s="6">
        <v>2409151.2199999997</v>
      </c>
      <c r="F218" s="11">
        <v>2.889674132071224</v>
      </c>
      <c r="G218" s="18">
        <v>1274233.2699999998</v>
      </c>
      <c r="H218" s="11">
        <v>2.8911929289053959</v>
      </c>
      <c r="J218" s="4">
        <v>1688190</v>
      </c>
      <c r="K218" s="4">
        <v>3692752</v>
      </c>
      <c r="L218" s="11">
        <v>2.3609261646535327E-3</v>
      </c>
      <c r="M218" s="6">
        <v>2004562</v>
      </c>
      <c r="N218" s="11">
        <v>2.1874030766679105</v>
      </c>
      <c r="O218" s="18">
        <v>1688189.7200000002</v>
      </c>
      <c r="P218" s="11">
        <v>2.1874034394665069</v>
      </c>
    </row>
    <row r="219" spans="1:16" x14ac:dyDescent="0.3">
      <c r="A219" s="10" t="s">
        <v>183</v>
      </c>
      <c r="B219" s="3" t="s">
        <v>867</v>
      </c>
      <c r="C219" s="4">
        <v>43157465</v>
      </c>
      <c r="D219" s="4">
        <v>67451218.269999996</v>
      </c>
      <c r="E219" s="6">
        <v>24293753.269999996</v>
      </c>
      <c r="F219" s="11">
        <v>1.5629096442527382</v>
      </c>
      <c r="G219" s="18">
        <v>42200577.130000003</v>
      </c>
      <c r="H219" s="11">
        <v>1.5983482420682238</v>
      </c>
      <c r="J219" s="4">
        <v>45181194</v>
      </c>
      <c r="K219" s="4">
        <v>69338030.224000007</v>
      </c>
      <c r="L219" s="11">
        <v>2.7972985550050483E-2</v>
      </c>
      <c r="M219" s="6">
        <v>24156836.224000007</v>
      </c>
      <c r="N219" s="11">
        <v>1.5346657333579987</v>
      </c>
      <c r="O219" s="18">
        <v>45181193.88000001</v>
      </c>
      <c r="P219" s="11">
        <v>1.534665737434028</v>
      </c>
    </row>
    <row r="220" spans="1:16" x14ac:dyDescent="0.3">
      <c r="A220" s="10" t="s">
        <v>184</v>
      </c>
      <c r="B220" s="3" t="s">
        <v>868</v>
      </c>
      <c r="C220" s="4">
        <v>10859021</v>
      </c>
      <c r="D220" s="4">
        <v>15340723.909897175</v>
      </c>
      <c r="E220" s="6">
        <v>4481702.9098971747</v>
      </c>
      <c r="F220" s="11">
        <v>1.412717031295655</v>
      </c>
      <c r="G220" s="18">
        <v>9723140.6099999994</v>
      </c>
      <c r="H220" s="11">
        <v>1.5777539917626653</v>
      </c>
      <c r="J220" s="4">
        <v>11206484</v>
      </c>
      <c r="K220" s="4">
        <v>16028924.935421703</v>
      </c>
      <c r="L220" s="11">
        <v>4.4861052813846093E-2</v>
      </c>
      <c r="M220" s="6">
        <v>4822440.9354217034</v>
      </c>
      <c r="N220" s="11">
        <v>1.4303259555291119</v>
      </c>
      <c r="O220" s="18">
        <v>10560011.300000001</v>
      </c>
      <c r="P220" s="11">
        <v>1.5178889946284151</v>
      </c>
    </row>
    <row r="221" spans="1:16" x14ac:dyDescent="0.3">
      <c r="A221" s="10" t="s">
        <v>185</v>
      </c>
      <c r="B221" s="3" t="s">
        <v>869</v>
      </c>
      <c r="C221" s="4">
        <v>12690149</v>
      </c>
      <c r="D221" s="4">
        <v>17448454.440196738</v>
      </c>
      <c r="E221" s="6">
        <v>4758305.4401967376</v>
      </c>
      <c r="F221" s="11">
        <v>1.3749605650963388</v>
      </c>
      <c r="G221" s="18">
        <v>12509536.450000003</v>
      </c>
      <c r="H221" s="11">
        <v>1.3948122306479815</v>
      </c>
      <c r="J221" s="4">
        <v>13585538</v>
      </c>
      <c r="K221" s="4">
        <v>18165924.44461789</v>
      </c>
      <c r="L221" s="11">
        <v>4.1119401542424661E-2</v>
      </c>
      <c r="M221" s="6">
        <v>4580386.4446178898</v>
      </c>
      <c r="N221" s="11">
        <v>1.3371516420341902</v>
      </c>
      <c r="O221" s="18">
        <v>13585538.109999998</v>
      </c>
      <c r="P221" s="11">
        <v>1.3371516312074807</v>
      </c>
    </row>
    <row r="222" spans="1:16" x14ac:dyDescent="0.3">
      <c r="A222" s="10" t="s">
        <v>186</v>
      </c>
      <c r="B222" s="3" t="s">
        <v>870</v>
      </c>
      <c r="C222" s="4">
        <v>66130290</v>
      </c>
      <c r="D222" s="4">
        <v>73618818.069408953</v>
      </c>
      <c r="E222" s="6">
        <v>7488528.0694089532</v>
      </c>
      <c r="F222" s="11">
        <v>1.1132390024209624</v>
      </c>
      <c r="G222" s="18">
        <v>64714818.569999993</v>
      </c>
      <c r="H222" s="11">
        <v>1.1375882633399919</v>
      </c>
      <c r="J222" s="4">
        <v>69264757</v>
      </c>
      <c r="K222" s="4">
        <v>76872487.568556666</v>
      </c>
      <c r="L222" s="11">
        <v>4.4196165932467203E-2</v>
      </c>
      <c r="M222" s="6">
        <v>7607730.5685566664</v>
      </c>
      <c r="N222" s="11">
        <v>1.1098355195060696</v>
      </c>
      <c r="O222" s="18">
        <v>69264756.579999998</v>
      </c>
      <c r="P222" s="11">
        <v>1.109835526235768</v>
      </c>
    </row>
    <row r="223" spans="1:16" x14ac:dyDescent="0.3">
      <c r="A223" s="10" t="s">
        <v>187</v>
      </c>
      <c r="B223" s="3" t="s">
        <v>871</v>
      </c>
      <c r="C223" s="4">
        <v>55735710</v>
      </c>
      <c r="D223" s="4">
        <v>71224240.450000018</v>
      </c>
      <c r="E223" s="6">
        <v>15488530.450000018</v>
      </c>
      <c r="F223" s="11">
        <v>1.2778924041696071</v>
      </c>
      <c r="G223" s="18">
        <v>49437144.66234</v>
      </c>
      <c r="H223" s="11">
        <v>1.4407029559750624</v>
      </c>
      <c r="J223" s="4">
        <v>57640212</v>
      </c>
      <c r="K223" s="4">
        <v>73187451.599999994</v>
      </c>
      <c r="L223" s="11">
        <v>2.7563806052493686E-2</v>
      </c>
      <c r="M223" s="6">
        <v>15547239.599999994</v>
      </c>
      <c r="N223" s="11">
        <v>1.2697290495739328</v>
      </c>
      <c r="O223" s="18">
        <v>51138938.126499996</v>
      </c>
      <c r="P223" s="11">
        <v>1.4311492236886034</v>
      </c>
    </row>
    <row r="224" spans="1:16" x14ac:dyDescent="0.3">
      <c r="A224" s="10" t="s">
        <v>188</v>
      </c>
      <c r="B224" s="3" t="s">
        <v>872</v>
      </c>
      <c r="C224" s="4">
        <v>1457511</v>
      </c>
      <c r="D224" s="4">
        <v>2657437.4299999997</v>
      </c>
      <c r="E224" s="6">
        <v>1199926.4299999997</v>
      </c>
      <c r="F224" s="11">
        <v>1.8232709255710589</v>
      </c>
      <c r="G224" s="18">
        <v>1221027.5199999998</v>
      </c>
      <c r="H224" s="11">
        <v>2.1763943780726582</v>
      </c>
      <c r="J224" s="4">
        <v>1515078</v>
      </c>
      <c r="K224" s="4">
        <v>2739777.49</v>
      </c>
      <c r="L224" s="11">
        <v>3.0984759629881682E-2</v>
      </c>
      <c r="M224" s="6">
        <v>1224699.4900000002</v>
      </c>
      <c r="N224" s="11">
        <v>1.8083408840996966</v>
      </c>
      <c r="O224" s="18">
        <v>1276796.4100000001</v>
      </c>
      <c r="P224" s="11">
        <v>2.1458217367638119</v>
      </c>
    </row>
    <row r="225" spans="1:16" x14ac:dyDescent="0.3">
      <c r="A225" s="10" t="s">
        <v>189</v>
      </c>
      <c r="B225" s="3" t="s">
        <v>873</v>
      </c>
      <c r="C225" s="4">
        <v>21789134</v>
      </c>
      <c r="D225" s="4">
        <v>52545400.784999996</v>
      </c>
      <c r="E225" s="6">
        <v>30756266.784999996</v>
      </c>
      <c r="F225" s="11">
        <v>2.4115414951782848</v>
      </c>
      <c r="G225" s="18">
        <v>21554028.930860002</v>
      </c>
      <c r="H225" s="11">
        <v>2.4378458873537125</v>
      </c>
      <c r="J225" s="4">
        <v>23373131</v>
      </c>
      <c r="K225" s="4">
        <v>55208315.502000004</v>
      </c>
      <c r="L225" s="11">
        <v>5.0678359613163006E-2</v>
      </c>
      <c r="M225" s="6">
        <v>31835184.502000004</v>
      </c>
      <c r="N225" s="11">
        <v>2.3620419319089088</v>
      </c>
      <c r="O225" s="18">
        <v>23331116.658349998</v>
      </c>
      <c r="P225" s="11">
        <v>2.3662954632838562</v>
      </c>
    </row>
    <row r="226" spans="1:16" x14ac:dyDescent="0.3">
      <c r="A226" s="10" t="s">
        <v>190</v>
      </c>
      <c r="B226" s="3" t="s">
        <v>874</v>
      </c>
      <c r="C226" s="4">
        <v>18620895</v>
      </c>
      <c r="D226" s="4">
        <v>23281483.311910637</v>
      </c>
      <c r="E226" s="6">
        <v>4660588.3119106367</v>
      </c>
      <c r="F226" s="11">
        <v>1.2502880936663161</v>
      </c>
      <c r="G226" s="18">
        <v>16990670.259999998</v>
      </c>
      <c r="H226" s="11">
        <v>1.3702510233937433</v>
      </c>
      <c r="J226" s="4">
        <v>19461711</v>
      </c>
      <c r="K226" s="4">
        <v>23869048.428318828</v>
      </c>
      <c r="L226" s="11">
        <v>2.5237443359444268E-2</v>
      </c>
      <c r="M226" s="6">
        <v>4407337.4283188283</v>
      </c>
      <c r="N226" s="11">
        <v>1.2264619708061038</v>
      </c>
      <c r="O226" s="18">
        <v>19394381.850000001</v>
      </c>
      <c r="P226" s="11">
        <v>1.230719731772159</v>
      </c>
    </row>
    <row r="227" spans="1:16" x14ac:dyDescent="0.3">
      <c r="A227" s="10" t="s">
        <v>191</v>
      </c>
      <c r="B227" s="3" t="s">
        <v>875</v>
      </c>
      <c r="C227" s="4">
        <v>53788013</v>
      </c>
      <c r="D227" s="4">
        <v>56614089.326865897</v>
      </c>
      <c r="E227" s="6">
        <v>2826076.3268658966</v>
      </c>
      <c r="F227" s="11">
        <v>1.0525410062436382</v>
      </c>
      <c r="G227" s="18">
        <v>53788012.660000004</v>
      </c>
      <c r="H227" s="11">
        <v>1.0525410128968669</v>
      </c>
      <c r="J227" s="4">
        <v>57525467</v>
      </c>
      <c r="K227" s="4">
        <v>62169450.058789477</v>
      </c>
      <c r="L227" s="11">
        <v>9.8126823163210627E-2</v>
      </c>
      <c r="M227" s="6">
        <v>4643983.0587894768</v>
      </c>
      <c r="N227" s="11">
        <v>1.0807291674622908</v>
      </c>
      <c r="O227" s="18">
        <v>57525467.20000001</v>
      </c>
      <c r="P227" s="11">
        <v>1.0807291637048968</v>
      </c>
    </row>
    <row r="228" spans="1:16" x14ac:dyDescent="0.3">
      <c r="A228" s="10" t="s">
        <v>192</v>
      </c>
      <c r="B228" s="3" t="s">
        <v>876</v>
      </c>
      <c r="C228" s="4">
        <v>32514238</v>
      </c>
      <c r="D228" s="4">
        <v>57784064.950285196</v>
      </c>
      <c r="E228" s="6">
        <v>25269826.950285196</v>
      </c>
      <c r="F228" s="11">
        <v>1.7771926548081858</v>
      </c>
      <c r="G228" s="18">
        <v>32473679.60554</v>
      </c>
      <c r="H228" s="11">
        <v>1.77941230104479</v>
      </c>
      <c r="J228" s="4">
        <v>33902334</v>
      </c>
      <c r="K228" s="4">
        <v>60597405.896478176</v>
      </c>
      <c r="L228" s="11">
        <v>4.8687141491576463E-2</v>
      </c>
      <c r="M228" s="6">
        <v>26695071.896478176</v>
      </c>
      <c r="N228" s="11">
        <v>1.7874110347823893</v>
      </c>
      <c r="O228" s="18">
        <v>33902334.173579998</v>
      </c>
      <c r="P228" s="11">
        <v>1.7874110256308422</v>
      </c>
    </row>
    <row r="229" spans="1:16" x14ac:dyDescent="0.3">
      <c r="A229" s="10" t="s">
        <v>193</v>
      </c>
      <c r="B229" s="3" t="s">
        <v>877</v>
      </c>
      <c r="C229" s="4">
        <v>87004788</v>
      </c>
      <c r="D229" s="4">
        <v>96419386.319078684</v>
      </c>
      <c r="E229" s="6">
        <v>9414598.3190786839</v>
      </c>
      <c r="F229" s="11">
        <v>1.1082078186211854</v>
      </c>
      <c r="G229" s="18">
        <v>76134831.638579994</v>
      </c>
      <c r="H229" s="11">
        <v>1.2664293628019248</v>
      </c>
      <c r="J229" s="4">
        <v>91257807</v>
      </c>
      <c r="K229" s="4">
        <v>95112752.760558695</v>
      </c>
      <c r="L229" s="11">
        <v>-1.35515647672344E-2</v>
      </c>
      <c r="M229" s="6">
        <v>3854945.7605586946</v>
      </c>
      <c r="N229" s="11">
        <v>1.0422423668427481</v>
      </c>
      <c r="O229" s="18">
        <v>83362016.189649999</v>
      </c>
      <c r="P229" s="11">
        <v>1.1409603211152615</v>
      </c>
    </row>
    <row r="230" spans="1:16" x14ac:dyDescent="0.3">
      <c r="A230" s="10" t="s">
        <v>194</v>
      </c>
      <c r="B230" s="3" t="s">
        <v>878</v>
      </c>
      <c r="C230" s="4">
        <v>1042127</v>
      </c>
      <c r="D230" s="4">
        <v>2135190.4059657082</v>
      </c>
      <c r="E230" s="6">
        <v>1093063.4059657082</v>
      </c>
      <c r="F230" s="11">
        <v>2.0488773498486346</v>
      </c>
      <c r="G230" s="18">
        <v>961185.17</v>
      </c>
      <c r="H230" s="11">
        <v>2.2214142213260617</v>
      </c>
      <c r="J230" s="4">
        <v>1002498</v>
      </c>
      <c r="K230" s="4">
        <v>2266869.3536917479</v>
      </c>
      <c r="L230" s="11">
        <v>6.1670822123464752E-2</v>
      </c>
      <c r="M230" s="6">
        <v>1264371.3536917479</v>
      </c>
      <c r="N230" s="11">
        <v>2.261220824073213</v>
      </c>
      <c r="O230" s="18">
        <v>966975.82</v>
      </c>
      <c r="P230" s="11">
        <v>2.344287526953619</v>
      </c>
    </row>
    <row r="231" spans="1:16" x14ac:dyDescent="0.3">
      <c r="A231" s="10" t="s">
        <v>195</v>
      </c>
      <c r="B231" s="3" t="s">
        <v>879</v>
      </c>
      <c r="C231" s="4">
        <v>2070980</v>
      </c>
      <c r="D231" s="4">
        <v>3451496.962302505</v>
      </c>
      <c r="E231" s="6">
        <v>1380516.962302505</v>
      </c>
      <c r="F231" s="11">
        <v>1.6666008181163048</v>
      </c>
      <c r="G231" s="18">
        <v>2025767.98</v>
      </c>
      <c r="H231" s="11">
        <v>1.7037967804696494</v>
      </c>
      <c r="J231" s="4">
        <v>2178720</v>
      </c>
      <c r="K231" s="4">
        <v>3469397.6099832943</v>
      </c>
      <c r="L231" s="11">
        <v>5.186343165386317E-3</v>
      </c>
      <c r="M231" s="6">
        <v>1290677.6099832943</v>
      </c>
      <c r="N231" s="11">
        <v>1.5924017817724601</v>
      </c>
      <c r="O231" s="18">
        <v>2178719.5099999998</v>
      </c>
      <c r="P231" s="11">
        <v>1.5924021399079933</v>
      </c>
    </row>
    <row r="232" spans="1:16" x14ac:dyDescent="0.3">
      <c r="A232" s="10" t="s">
        <v>196</v>
      </c>
      <c r="B232" s="3" t="s">
        <v>880</v>
      </c>
      <c r="C232" s="4">
        <v>37934467</v>
      </c>
      <c r="D232" s="4">
        <v>59864607.200000003</v>
      </c>
      <c r="E232" s="6">
        <v>21930140.200000003</v>
      </c>
      <c r="F232" s="11">
        <v>1.5781059267288506</v>
      </c>
      <c r="G232" s="18">
        <v>31976675.075399999</v>
      </c>
      <c r="H232" s="11">
        <v>1.872133580456415</v>
      </c>
      <c r="J232" s="4">
        <v>38790578</v>
      </c>
      <c r="K232" s="4">
        <v>61654912.048</v>
      </c>
      <c r="L232" s="11">
        <v>2.9905898188203554E-2</v>
      </c>
      <c r="M232" s="6">
        <v>22864334.048</v>
      </c>
      <c r="N232" s="11">
        <v>1.5894300942873292</v>
      </c>
      <c r="O232" s="18">
        <v>34415669.88318</v>
      </c>
      <c r="P232" s="11">
        <v>1.7914779011212174</v>
      </c>
    </row>
    <row r="233" spans="1:16" x14ac:dyDescent="0.3">
      <c r="A233" s="10" t="s">
        <v>457</v>
      </c>
      <c r="B233" s="3" t="s">
        <v>881</v>
      </c>
      <c r="C233" s="4">
        <v>17040600</v>
      </c>
      <c r="D233" s="4">
        <v>17561136.419999998</v>
      </c>
      <c r="E233" s="6">
        <v>520536.41999999806</v>
      </c>
      <c r="F233" s="11">
        <v>1.0305468363790007</v>
      </c>
      <c r="G233" s="18">
        <v>16192011.48</v>
      </c>
      <c r="H233" s="11">
        <v>1.0845555811080736</v>
      </c>
      <c r="J233" s="4">
        <v>18305278</v>
      </c>
      <c r="K233" s="4">
        <v>18624325.631999999</v>
      </c>
      <c r="L233" s="11">
        <v>6.0542164616929801E-2</v>
      </c>
      <c r="M233" s="6">
        <v>319047.63199999928</v>
      </c>
      <c r="N233" s="11">
        <v>1.0174292699624665</v>
      </c>
      <c r="O233" s="18">
        <v>18305278.439999994</v>
      </c>
      <c r="P233" s="11">
        <v>1.0174292455067406</v>
      </c>
    </row>
    <row r="234" spans="1:16" x14ac:dyDescent="0.3">
      <c r="A234" s="10" t="s">
        <v>197</v>
      </c>
      <c r="B234" s="3" t="s">
        <v>882</v>
      </c>
      <c r="C234" s="4">
        <v>50696387</v>
      </c>
      <c r="D234" s="4">
        <v>71616120.379941672</v>
      </c>
      <c r="E234" s="6">
        <v>20919733.379941672</v>
      </c>
      <c r="F234" s="11">
        <v>1.4126474215991303</v>
      </c>
      <c r="G234" s="18">
        <v>49628251.23258999</v>
      </c>
      <c r="H234" s="11">
        <v>1.4430514596273472</v>
      </c>
      <c r="J234" s="4">
        <v>52174563</v>
      </c>
      <c r="K234" s="4">
        <v>75045061.786338136</v>
      </c>
      <c r="L234" s="11">
        <v>4.787946328571082E-2</v>
      </c>
      <c r="M234" s="6">
        <v>22870498.786338136</v>
      </c>
      <c r="N234" s="11">
        <v>1.438345766045767</v>
      </c>
      <c r="O234" s="18">
        <v>51185910.074539989</v>
      </c>
      <c r="P234" s="11">
        <v>1.4661273322493049</v>
      </c>
    </row>
    <row r="235" spans="1:16" x14ac:dyDescent="0.3">
      <c r="A235" s="10" t="s">
        <v>198</v>
      </c>
      <c r="B235" s="3" t="s">
        <v>883</v>
      </c>
      <c r="C235" s="4">
        <v>24711119</v>
      </c>
      <c r="D235" s="4">
        <v>28203694.165000003</v>
      </c>
      <c r="E235" s="6">
        <v>3492575.1650000028</v>
      </c>
      <c r="F235" s="11">
        <v>1.1413361800815254</v>
      </c>
      <c r="G235" s="18">
        <v>23441502.304000001</v>
      </c>
      <c r="H235" s="11">
        <v>1.2031521614631069</v>
      </c>
      <c r="J235" s="4">
        <v>25999605</v>
      </c>
      <c r="K235" s="4">
        <v>28655603.800000001</v>
      </c>
      <c r="L235" s="11">
        <v>1.6023065360026671E-2</v>
      </c>
      <c r="M235" s="6">
        <v>2655998.8000000007</v>
      </c>
      <c r="N235" s="11">
        <v>1.1021553519755396</v>
      </c>
      <c r="O235" s="18">
        <v>25999605.057999998</v>
      </c>
      <c r="P235" s="11">
        <v>1.1021553495168481</v>
      </c>
    </row>
    <row r="236" spans="1:16" x14ac:dyDescent="0.3">
      <c r="A236" s="10" t="s">
        <v>199</v>
      </c>
      <c r="B236" s="3" t="s">
        <v>200</v>
      </c>
      <c r="C236" s="4">
        <v>54945913</v>
      </c>
      <c r="D236" s="4">
        <v>87957013.372446179</v>
      </c>
      <c r="E236" s="6">
        <v>33011100.372446179</v>
      </c>
      <c r="F236" s="11">
        <v>1.6007926444401093</v>
      </c>
      <c r="G236" s="18">
        <v>54858831.045920007</v>
      </c>
      <c r="H236" s="11">
        <v>1.603333714836561</v>
      </c>
      <c r="J236" s="4">
        <v>60994708</v>
      </c>
      <c r="K236" s="4">
        <v>90887621.855678946</v>
      </c>
      <c r="L236" s="11">
        <v>3.331864476597636E-2</v>
      </c>
      <c r="M236" s="6">
        <v>29892913.855678946</v>
      </c>
      <c r="N236" s="11">
        <v>1.4900902854667153</v>
      </c>
      <c r="O236" s="18">
        <v>60994707.780599996</v>
      </c>
      <c r="P236" s="11">
        <v>1.49009029082662</v>
      </c>
    </row>
    <row r="237" spans="1:16" x14ac:dyDescent="0.3">
      <c r="A237" s="10" t="s">
        <v>201</v>
      </c>
      <c r="B237" s="3" t="s">
        <v>884</v>
      </c>
      <c r="C237" s="4">
        <v>400061624</v>
      </c>
      <c r="D237" s="4">
        <v>401591096.69859296</v>
      </c>
      <c r="E237" s="6">
        <v>1529472.6985929608</v>
      </c>
      <c r="F237" s="11">
        <v>1.0038230927608116</v>
      </c>
      <c r="G237" s="18">
        <v>400051102.55999994</v>
      </c>
      <c r="H237" s="11">
        <v>1.003849493549045</v>
      </c>
      <c r="J237" s="4">
        <v>430557180</v>
      </c>
      <c r="K237" s="4">
        <v>430116645.10847235</v>
      </c>
      <c r="L237" s="11">
        <v>7.1031326750973095E-2</v>
      </c>
      <c r="M237" s="6">
        <v>-440534.89152765274</v>
      </c>
      <c r="N237" s="11">
        <v>0.99897682604775595</v>
      </c>
      <c r="O237" s="18">
        <v>430557179.73999995</v>
      </c>
      <c r="P237" s="11">
        <v>0.99897682665100684</v>
      </c>
    </row>
    <row r="238" spans="1:16" x14ac:dyDescent="0.3">
      <c r="A238" s="10" t="s">
        <v>493</v>
      </c>
      <c r="B238" s="3" t="s">
        <v>885</v>
      </c>
      <c r="C238" s="4">
        <v>1340215</v>
      </c>
      <c r="D238" s="4">
        <v>1615557.72</v>
      </c>
      <c r="E238" s="6">
        <v>275342.71999999997</v>
      </c>
      <c r="F238" s="11">
        <v>1.2054466783314617</v>
      </c>
      <c r="G238" s="18">
        <v>1188969.8699999999</v>
      </c>
      <c r="H238" s="11">
        <v>1.3587877714680863</v>
      </c>
      <c r="J238" s="4">
        <v>1392835</v>
      </c>
      <c r="K238" s="4">
        <v>2147794.71</v>
      </c>
      <c r="L238" s="11">
        <v>0.32944473813043335</v>
      </c>
      <c r="M238" s="6">
        <v>754959.71</v>
      </c>
      <c r="N238" s="11">
        <v>1.5420309728000803</v>
      </c>
      <c r="O238" s="18">
        <v>1326979.1100000001</v>
      </c>
      <c r="P238" s="11">
        <v>1.6185595491401517</v>
      </c>
    </row>
    <row r="239" spans="1:16" x14ac:dyDescent="0.3">
      <c r="A239" s="10" t="s">
        <v>202</v>
      </c>
      <c r="B239" s="3" t="s">
        <v>886</v>
      </c>
      <c r="C239" s="4">
        <v>10994415</v>
      </c>
      <c r="D239" s="4">
        <v>15986153.727885595</v>
      </c>
      <c r="E239" s="6">
        <v>4991738.7278855946</v>
      </c>
      <c r="F239" s="11">
        <v>1.454024950657729</v>
      </c>
      <c r="G239" s="18">
        <v>8698911.8334400002</v>
      </c>
      <c r="H239" s="11">
        <v>1.8377187898872911</v>
      </c>
      <c r="J239" s="4">
        <v>11650213</v>
      </c>
      <c r="K239" s="4">
        <v>16640867.920451419</v>
      </c>
      <c r="L239" s="11">
        <v>4.0955079233585004E-2</v>
      </c>
      <c r="M239" s="6">
        <v>4990654.9204514194</v>
      </c>
      <c r="N239" s="11">
        <v>1.4283745645209593</v>
      </c>
      <c r="O239" s="18">
        <v>9667437.7704000026</v>
      </c>
      <c r="P239" s="11">
        <v>1.7213317856984647</v>
      </c>
    </row>
    <row r="240" spans="1:16" x14ac:dyDescent="0.3">
      <c r="A240" s="10" t="s">
        <v>203</v>
      </c>
      <c r="B240" s="3" t="s">
        <v>887</v>
      </c>
      <c r="C240" s="4">
        <v>3488218</v>
      </c>
      <c r="D240" s="4">
        <v>3438893.8899999987</v>
      </c>
      <c r="E240" s="6">
        <v>-49324.110000001267</v>
      </c>
      <c r="F240" s="11">
        <v>0.98585979718010708</v>
      </c>
      <c r="G240" s="18">
        <v>3117227.3600000003</v>
      </c>
      <c r="H240" s="11">
        <v>1.1031899482622269</v>
      </c>
      <c r="J240" s="4">
        <v>3657013.1100000013</v>
      </c>
      <c r="K240" s="4">
        <v>3934698</v>
      </c>
      <c r="L240" s="11">
        <v>0.14417546044143906</v>
      </c>
      <c r="M240" s="6">
        <v>277684.88999999873</v>
      </c>
      <c r="N240" s="11">
        <v>1.0759321560102362</v>
      </c>
      <c r="O240" s="18">
        <v>3397887.14</v>
      </c>
      <c r="P240" s="11">
        <v>1.1579837227907457</v>
      </c>
    </row>
    <row r="241" spans="1:16" x14ac:dyDescent="0.3">
      <c r="A241" s="10" t="s">
        <v>204</v>
      </c>
      <c r="B241" s="3" t="s">
        <v>888</v>
      </c>
      <c r="C241" s="4">
        <v>62061953</v>
      </c>
      <c r="D241" s="4">
        <v>85549936.039999992</v>
      </c>
      <c r="E241" s="6">
        <v>23487983.039999992</v>
      </c>
      <c r="F241" s="11">
        <v>1.3784602627635645</v>
      </c>
      <c r="G241" s="18">
        <v>57822927.827799991</v>
      </c>
      <c r="H241" s="11">
        <v>1.4795158123914554</v>
      </c>
      <c r="J241" s="4">
        <v>64019556</v>
      </c>
      <c r="K241" s="4">
        <v>89461753</v>
      </c>
      <c r="L241" s="11">
        <v>4.5725539270666284E-2</v>
      </c>
      <c r="M241" s="6">
        <v>25442197</v>
      </c>
      <c r="N241" s="11">
        <v>1.3974128936476848</v>
      </c>
      <c r="O241" s="18">
        <v>61160337.808100007</v>
      </c>
      <c r="P241" s="11">
        <v>1.4627413157968494</v>
      </c>
    </row>
    <row r="242" spans="1:16" x14ac:dyDescent="0.3">
      <c r="A242" s="10" t="s">
        <v>205</v>
      </c>
      <c r="B242" s="3" t="s">
        <v>1027</v>
      </c>
      <c r="C242" s="4">
        <v>16115660</v>
      </c>
      <c r="D242" s="4">
        <v>18092968.390000001</v>
      </c>
      <c r="E242" s="6">
        <v>1977308.3900000006</v>
      </c>
      <c r="F242" s="11">
        <v>1.1226948440212812</v>
      </c>
      <c r="G242" s="18">
        <v>15216793.440000001</v>
      </c>
      <c r="H242" s="11">
        <v>1.189013208422707</v>
      </c>
      <c r="J242" s="4">
        <v>16405390</v>
      </c>
      <c r="K242" s="4">
        <v>18531174</v>
      </c>
      <c r="L242" s="11">
        <v>2.4219663714340874E-2</v>
      </c>
      <c r="M242" s="6">
        <v>2125784</v>
      </c>
      <c r="N242" s="11">
        <v>1.1295783885661967</v>
      </c>
      <c r="O242" s="18">
        <v>16371180.810000002</v>
      </c>
      <c r="P242" s="11">
        <v>1.1319387535369843</v>
      </c>
    </row>
    <row r="243" spans="1:16" x14ac:dyDescent="0.3">
      <c r="A243" s="10" t="s">
        <v>206</v>
      </c>
      <c r="B243" s="3" t="s">
        <v>889</v>
      </c>
      <c r="C243" s="4">
        <v>22388823.000000399</v>
      </c>
      <c r="D243" s="4">
        <v>29159321</v>
      </c>
      <c r="E243" s="6">
        <v>6770497.9999996014</v>
      </c>
      <c r="F243" s="11">
        <v>1.3024052671281328</v>
      </c>
      <c r="G243" s="18">
        <v>16668696.930166688</v>
      </c>
      <c r="H243" s="11">
        <v>1.7493461619803057</v>
      </c>
      <c r="J243" s="4">
        <v>22990554.000000399</v>
      </c>
      <c r="K243" s="4">
        <v>30618915</v>
      </c>
      <c r="L243" s="11">
        <v>5.0055829489308069E-2</v>
      </c>
      <c r="M243" s="6">
        <v>7628360.9999996014</v>
      </c>
      <c r="N243" s="11">
        <v>1.3318041400828997</v>
      </c>
      <c r="O243" s="18">
        <v>17544562.199999999</v>
      </c>
      <c r="P243" s="11">
        <v>1.7452082674368472</v>
      </c>
    </row>
    <row r="244" spans="1:16" x14ac:dyDescent="0.3">
      <c r="A244" s="10" t="s">
        <v>207</v>
      </c>
      <c r="B244" s="3" t="s">
        <v>890</v>
      </c>
      <c r="C244" s="4">
        <v>24909622</v>
      </c>
      <c r="D244" s="4">
        <v>30157725.429999989</v>
      </c>
      <c r="E244" s="6">
        <v>5248103.4299999885</v>
      </c>
      <c r="F244" s="11">
        <v>1.2106857916189973</v>
      </c>
      <c r="G244" s="18">
        <v>24454471.870000005</v>
      </c>
      <c r="H244" s="11">
        <v>1.2332192488277189</v>
      </c>
      <c r="J244" s="4">
        <v>27181254</v>
      </c>
      <c r="K244" s="4">
        <v>31645231.969999999</v>
      </c>
      <c r="L244" s="11">
        <v>4.9324228495040409E-2</v>
      </c>
      <c r="M244" s="6">
        <v>4463977.9699999988</v>
      </c>
      <c r="N244" s="11">
        <v>1.1642300230151266</v>
      </c>
      <c r="O244" s="18">
        <v>27181254.040000007</v>
      </c>
      <c r="P244" s="11">
        <v>1.1642300213018424</v>
      </c>
    </row>
    <row r="245" spans="1:16" x14ac:dyDescent="0.3">
      <c r="A245" s="10" t="s">
        <v>208</v>
      </c>
      <c r="B245" s="3" t="s">
        <v>891</v>
      </c>
      <c r="C245" s="4">
        <v>21989258</v>
      </c>
      <c r="D245" s="4">
        <v>23152805.5</v>
      </c>
      <c r="E245" s="6">
        <v>1163547.5</v>
      </c>
      <c r="F245" s="11">
        <v>1.0529143593658321</v>
      </c>
      <c r="G245" s="18">
        <v>21516033.310000002</v>
      </c>
      <c r="H245" s="11">
        <v>1.0760722093342026</v>
      </c>
      <c r="J245" s="4">
        <v>25100228</v>
      </c>
      <c r="K245" s="4">
        <v>25135744</v>
      </c>
      <c r="L245" s="11">
        <v>8.5645711488398238E-2</v>
      </c>
      <c r="M245" s="6">
        <v>35516</v>
      </c>
      <c r="N245" s="11">
        <v>1.0014149672265926</v>
      </c>
      <c r="O245" s="18">
        <v>25100227.810000002</v>
      </c>
      <c r="P245" s="11">
        <v>1.0014149748069556</v>
      </c>
    </row>
    <row r="246" spans="1:16" x14ac:dyDescent="0.3">
      <c r="A246" s="10" t="s">
        <v>209</v>
      </c>
      <c r="B246" s="3" t="s">
        <v>210</v>
      </c>
      <c r="C246" s="4">
        <v>21677231</v>
      </c>
      <c r="D246" s="4">
        <v>26809377.479999997</v>
      </c>
      <c r="E246" s="6">
        <v>5132146.4799999967</v>
      </c>
      <c r="F246" s="11">
        <v>1.2367528620237518</v>
      </c>
      <c r="G246" s="18">
        <v>19326736.270000003</v>
      </c>
      <c r="H246" s="11">
        <v>1.3871652774408141</v>
      </c>
      <c r="J246" s="4">
        <v>22538076</v>
      </c>
      <c r="K246" s="4">
        <v>27552788</v>
      </c>
      <c r="L246" s="11">
        <v>2.7729495791336194E-2</v>
      </c>
      <c r="M246" s="6">
        <v>5014712</v>
      </c>
      <c r="N246" s="11">
        <v>1.2224995602996458</v>
      </c>
      <c r="O246" s="18">
        <v>20782030.890000001</v>
      </c>
      <c r="P246" s="11">
        <v>1.3257986260263903</v>
      </c>
    </row>
    <row r="247" spans="1:16" x14ac:dyDescent="0.3">
      <c r="A247" s="10" t="s">
        <v>211</v>
      </c>
      <c r="B247" s="3" t="s">
        <v>892</v>
      </c>
      <c r="C247" s="4">
        <v>12828419</v>
      </c>
      <c r="D247" s="4">
        <v>25554629.160000004</v>
      </c>
      <c r="E247" s="6">
        <v>12726210.160000004</v>
      </c>
      <c r="F247" s="11">
        <v>1.9920326238174793</v>
      </c>
      <c r="G247" s="18">
        <v>11959904.129880402</v>
      </c>
      <c r="H247" s="11">
        <v>2.1366918064296847</v>
      </c>
      <c r="J247" s="4">
        <v>13515333</v>
      </c>
      <c r="K247" s="4">
        <v>28723590</v>
      </c>
      <c r="L247" s="11">
        <v>0.12400731077562605</v>
      </c>
      <c r="M247" s="6">
        <v>15208257</v>
      </c>
      <c r="N247" s="11">
        <v>2.1252595108089456</v>
      </c>
      <c r="O247" s="18">
        <v>13314694.690000001</v>
      </c>
      <c r="P247" s="11">
        <v>2.15728491480716</v>
      </c>
    </row>
    <row r="248" spans="1:16" x14ac:dyDescent="0.3">
      <c r="A248" s="10" t="s">
        <v>212</v>
      </c>
      <c r="B248" s="3" t="s">
        <v>893</v>
      </c>
      <c r="C248" s="4">
        <v>10727337</v>
      </c>
      <c r="D248" s="4">
        <v>16708006.205000002</v>
      </c>
      <c r="E248" s="6">
        <v>5980669.2050000019</v>
      </c>
      <c r="F248" s="11">
        <v>1.5575166702602894</v>
      </c>
      <c r="G248" s="18">
        <v>10696909.850000001</v>
      </c>
      <c r="H248" s="11">
        <v>1.5619469958419814</v>
      </c>
      <c r="J248" s="4">
        <v>11425016</v>
      </c>
      <c r="K248" s="4">
        <v>17734006.530000001</v>
      </c>
      <c r="L248" s="11">
        <v>6.140770552820124E-2</v>
      </c>
      <c r="M248" s="6">
        <v>6308990.5300000012</v>
      </c>
      <c r="N248" s="11">
        <v>1.5522084634279725</v>
      </c>
      <c r="O248" s="18">
        <v>11425016.279999997</v>
      </c>
      <c r="P248" s="11">
        <v>1.5522084253870319</v>
      </c>
    </row>
    <row r="249" spans="1:16" x14ac:dyDescent="0.3">
      <c r="A249" s="10" t="s">
        <v>213</v>
      </c>
      <c r="B249" s="3" t="s">
        <v>894</v>
      </c>
      <c r="C249" s="4">
        <v>20393868</v>
      </c>
      <c r="D249" s="4">
        <v>23615310.5</v>
      </c>
      <c r="E249" s="6">
        <v>3221442.5</v>
      </c>
      <c r="F249" s="11">
        <v>1.1579613293564517</v>
      </c>
      <c r="G249" s="18">
        <v>19313058.34</v>
      </c>
      <c r="H249" s="11">
        <v>1.2227638980973534</v>
      </c>
      <c r="J249" s="4">
        <v>21082503</v>
      </c>
      <c r="K249" s="4">
        <v>23205339</v>
      </c>
      <c r="L249" s="11">
        <v>-1.7360411162072164E-2</v>
      </c>
      <c r="M249" s="6">
        <v>2122836</v>
      </c>
      <c r="N249" s="11">
        <v>1.1006918391046832</v>
      </c>
      <c r="O249" s="18">
        <v>20463628.09</v>
      </c>
      <c r="P249" s="11">
        <v>1.1339797077009917</v>
      </c>
    </row>
    <row r="250" spans="1:16" x14ac:dyDescent="0.3">
      <c r="A250" s="10" t="s">
        <v>214</v>
      </c>
      <c r="B250" s="3" t="s">
        <v>895</v>
      </c>
      <c r="C250" s="4">
        <v>60841834</v>
      </c>
      <c r="D250" s="4">
        <v>69334268.146021977</v>
      </c>
      <c r="E250" s="6">
        <v>8492434.1460219771</v>
      </c>
      <c r="F250" s="11">
        <v>1.1395821524055632</v>
      </c>
      <c r="G250" s="18">
        <v>60696669.610000007</v>
      </c>
      <c r="H250" s="11">
        <v>1.1423076190427242</v>
      </c>
      <c r="J250" s="4">
        <v>67218280</v>
      </c>
      <c r="K250" s="4">
        <v>76250456.123575628</v>
      </c>
      <c r="L250" s="11">
        <v>9.9751366279481876E-2</v>
      </c>
      <c r="M250" s="6">
        <v>9032176.1235756278</v>
      </c>
      <c r="N250" s="11">
        <v>1.1343708307260409</v>
      </c>
      <c r="O250" s="18">
        <v>67218280.400000006</v>
      </c>
      <c r="P250" s="11">
        <v>1.1343708239756698</v>
      </c>
    </row>
    <row r="251" spans="1:16" x14ac:dyDescent="0.3">
      <c r="A251" s="10" t="s">
        <v>215</v>
      </c>
      <c r="B251" s="3" t="s">
        <v>653</v>
      </c>
      <c r="C251" s="4">
        <v>1563909</v>
      </c>
      <c r="D251" s="4">
        <v>2513132.2600000007</v>
      </c>
      <c r="E251" s="6">
        <v>949223.26000000071</v>
      </c>
      <c r="F251" s="11">
        <v>1.6069555581558779</v>
      </c>
      <c r="G251" s="18">
        <v>1138617.54</v>
      </c>
      <c r="H251" s="11">
        <v>2.2071785930857879</v>
      </c>
      <c r="J251" s="4">
        <v>1753354</v>
      </c>
      <c r="K251" s="4">
        <v>2582307.1399999997</v>
      </c>
      <c r="L251" s="11">
        <v>2.7525363905837149E-2</v>
      </c>
      <c r="M251" s="6">
        <v>828953.13999999966</v>
      </c>
      <c r="N251" s="11">
        <v>1.4727813892687955</v>
      </c>
      <c r="O251" s="18">
        <v>1538719.12</v>
      </c>
      <c r="P251" s="11">
        <v>1.6782186602061586</v>
      </c>
    </row>
    <row r="252" spans="1:16" x14ac:dyDescent="0.3">
      <c r="A252" s="10" t="s">
        <v>216</v>
      </c>
      <c r="B252" s="3" t="s">
        <v>896</v>
      </c>
      <c r="C252" s="4">
        <v>19957883</v>
      </c>
      <c r="D252" s="4">
        <v>25165408.030000001</v>
      </c>
      <c r="E252" s="6">
        <v>5207525.0300000012</v>
      </c>
      <c r="F252" s="11">
        <v>1.2609257219315295</v>
      </c>
      <c r="G252" s="18">
        <v>18403560.679815963</v>
      </c>
      <c r="H252" s="11">
        <v>1.3674206023402888</v>
      </c>
      <c r="J252" s="4">
        <v>20552636.000000902</v>
      </c>
      <c r="K252" s="4">
        <v>27372470</v>
      </c>
      <c r="L252" s="11">
        <v>8.770221279022905E-2</v>
      </c>
      <c r="M252" s="6">
        <v>6819833.9999990985</v>
      </c>
      <c r="N252" s="11">
        <v>1.3318228377128267</v>
      </c>
      <c r="O252" s="18">
        <v>20199482.520201996</v>
      </c>
      <c r="P252" s="11">
        <v>1.3551074871657789</v>
      </c>
    </row>
    <row r="253" spans="1:16" x14ac:dyDescent="0.3">
      <c r="A253" s="10" t="s">
        <v>217</v>
      </c>
      <c r="B253" s="3" t="s">
        <v>897</v>
      </c>
      <c r="C253" s="4">
        <v>16446778</v>
      </c>
      <c r="D253" s="4">
        <v>29214052.859999999</v>
      </c>
      <c r="E253" s="6">
        <v>12767274.859999999</v>
      </c>
      <c r="F253" s="11">
        <v>1.7762781780115229</v>
      </c>
      <c r="G253" s="18">
        <v>16437449.391079996</v>
      </c>
      <c r="H253" s="11">
        <v>1.7772862543901367</v>
      </c>
      <c r="J253" s="4">
        <v>17547216</v>
      </c>
      <c r="K253" s="4">
        <v>29256548</v>
      </c>
      <c r="L253" s="11">
        <v>1.4546129632764893E-3</v>
      </c>
      <c r="M253" s="6">
        <v>11709332</v>
      </c>
      <c r="N253" s="11">
        <v>1.6673042606872794</v>
      </c>
      <c r="O253" s="18">
        <v>17547215.867280003</v>
      </c>
      <c r="P253" s="11">
        <v>1.6673042732980901</v>
      </c>
    </row>
    <row r="254" spans="1:16" x14ac:dyDescent="0.3">
      <c r="A254" s="10" t="s">
        <v>218</v>
      </c>
      <c r="B254" s="3" t="s">
        <v>898</v>
      </c>
      <c r="C254" s="4">
        <v>40246704</v>
      </c>
      <c r="D254" s="4">
        <v>60819472.809999987</v>
      </c>
      <c r="E254" s="6">
        <v>20572768.809999987</v>
      </c>
      <c r="F254" s="11">
        <v>1.5111665494396755</v>
      </c>
      <c r="G254" s="18">
        <v>40000864.339999996</v>
      </c>
      <c r="H254" s="11">
        <v>1.5204539655204858</v>
      </c>
      <c r="J254" s="4">
        <v>45626329</v>
      </c>
      <c r="K254" s="4">
        <v>65844624.560000002</v>
      </c>
      <c r="L254" s="11">
        <v>8.2624059660934376E-2</v>
      </c>
      <c r="M254" s="6">
        <v>20218295.560000002</v>
      </c>
      <c r="N254" s="11">
        <v>1.4431278168357573</v>
      </c>
      <c r="O254" s="18">
        <v>45626329.120000012</v>
      </c>
      <c r="P254" s="11">
        <v>1.4431278130402436</v>
      </c>
    </row>
    <row r="255" spans="1:16" x14ac:dyDescent="0.3">
      <c r="A255" s="10" t="s">
        <v>219</v>
      </c>
      <c r="B255" s="3" t="s">
        <v>899</v>
      </c>
      <c r="C255" s="4">
        <v>33888040</v>
      </c>
      <c r="D255" s="4">
        <v>40703768.129999988</v>
      </c>
      <c r="E255" s="6">
        <v>6815728.1299999878</v>
      </c>
      <c r="F255" s="11">
        <v>1.2011248844725155</v>
      </c>
      <c r="G255" s="18">
        <v>30297677.200000003</v>
      </c>
      <c r="H255" s="11">
        <v>1.3434616740190228</v>
      </c>
      <c r="J255" s="4">
        <v>35007671</v>
      </c>
      <c r="K255" s="4">
        <v>43083055.899999999</v>
      </c>
      <c r="L255" s="11">
        <v>5.8453747142058796E-2</v>
      </c>
      <c r="M255" s="6">
        <v>8075384.8999999985</v>
      </c>
      <c r="N255" s="11">
        <v>1.2306747255480091</v>
      </c>
      <c r="O255" s="18">
        <v>31909002.190000005</v>
      </c>
      <c r="P255" s="11">
        <v>1.350184993045688</v>
      </c>
    </row>
    <row r="256" spans="1:16" x14ac:dyDescent="0.3">
      <c r="A256" s="10" t="s">
        <v>220</v>
      </c>
      <c r="B256" s="3" t="s">
        <v>900</v>
      </c>
      <c r="C256" s="4">
        <v>13742823</v>
      </c>
      <c r="D256" s="4">
        <v>23534389.850000001</v>
      </c>
      <c r="E256" s="6">
        <v>9791566.8500000015</v>
      </c>
      <c r="F256" s="11">
        <v>1.7124858444294888</v>
      </c>
      <c r="G256" s="18">
        <v>13732496.655719997</v>
      </c>
      <c r="H256" s="11">
        <v>1.7137735722802614</v>
      </c>
      <c r="J256" s="4">
        <v>14245103</v>
      </c>
      <c r="K256" s="4">
        <v>24588122</v>
      </c>
      <c r="L256" s="11">
        <v>4.4774143571009062E-2</v>
      </c>
      <c r="M256" s="6">
        <v>10343019</v>
      </c>
      <c r="N256" s="11">
        <v>1.726075409914551</v>
      </c>
      <c r="O256" s="18">
        <v>14245103.0352</v>
      </c>
      <c r="P256" s="11">
        <v>1.7260754056493761</v>
      </c>
    </row>
    <row r="257" spans="1:16" x14ac:dyDescent="0.3">
      <c r="A257" s="10" t="s">
        <v>221</v>
      </c>
      <c r="B257" s="3" t="s">
        <v>901</v>
      </c>
      <c r="C257" s="4">
        <v>42805149</v>
      </c>
      <c r="D257" s="4">
        <v>46945046.240000002</v>
      </c>
      <c r="E257" s="6">
        <v>4139897.2400000021</v>
      </c>
      <c r="F257" s="11">
        <v>1.0967149358597024</v>
      </c>
      <c r="G257" s="18">
        <v>38219798.009999998</v>
      </c>
      <c r="H257" s="11">
        <v>1.2282913224114134</v>
      </c>
      <c r="J257" s="4">
        <v>43779125</v>
      </c>
      <c r="K257" s="4">
        <v>49460950</v>
      </c>
      <c r="L257" s="11">
        <v>5.3592529169910509E-2</v>
      </c>
      <c r="M257" s="6">
        <v>5681825</v>
      </c>
      <c r="N257" s="11">
        <v>1.1297838867268362</v>
      </c>
      <c r="O257" s="18">
        <v>42267945.799999997</v>
      </c>
      <c r="P257" s="11">
        <v>1.1701763372659573</v>
      </c>
    </row>
    <row r="258" spans="1:16" x14ac:dyDescent="0.3">
      <c r="A258" s="10" t="s">
        <v>222</v>
      </c>
      <c r="B258" s="3" t="s">
        <v>902</v>
      </c>
      <c r="C258" s="4">
        <v>15323276.000000358</v>
      </c>
      <c r="D258" s="4">
        <v>28236201</v>
      </c>
      <c r="E258" s="6">
        <v>12912924.999999642</v>
      </c>
      <c r="F258" s="11">
        <v>1.8427000205438668</v>
      </c>
      <c r="G258" s="18">
        <v>14255426.050142555</v>
      </c>
      <c r="H258" s="11">
        <v>1.980733574758198</v>
      </c>
      <c r="J258" s="4">
        <v>16470411.999999631</v>
      </c>
      <c r="K258" s="4">
        <v>30120706</v>
      </c>
      <c r="L258" s="11">
        <v>6.6740741787466376E-2</v>
      </c>
      <c r="M258" s="6">
        <v>13650294.000000369</v>
      </c>
      <c r="N258" s="11">
        <v>1.8287767179109227</v>
      </c>
      <c r="O258" s="18">
        <v>16185145.729838148</v>
      </c>
      <c r="P258" s="11">
        <v>1.8610092552006456</v>
      </c>
    </row>
    <row r="259" spans="1:16" x14ac:dyDescent="0.3">
      <c r="A259" s="10" t="s">
        <v>223</v>
      </c>
      <c r="B259" s="3" t="s">
        <v>224</v>
      </c>
      <c r="C259" s="4">
        <v>2433039</v>
      </c>
      <c r="D259" s="4">
        <v>4039515.3464884697</v>
      </c>
      <c r="E259" s="6">
        <v>1606476.3464884697</v>
      </c>
      <c r="F259" s="11">
        <v>1.660275625046894</v>
      </c>
      <c r="G259" s="18">
        <v>2405493.8899999997</v>
      </c>
      <c r="H259" s="11">
        <v>1.6792873028201583</v>
      </c>
      <c r="J259" s="4">
        <v>2843384</v>
      </c>
      <c r="K259" s="4">
        <v>4152400.2</v>
      </c>
      <c r="L259" s="11">
        <v>2.7945147828107812E-2</v>
      </c>
      <c r="M259" s="6">
        <v>1309016.2000000002</v>
      </c>
      <c r="N259" s="11">
        <v>1.4603726404875319</v>
      </c>
      <c r="O259" s="18">
        <v>2843384.1900000004</v>
      </c>
      <c r="P259" s="11">
        <v>1.4603725429028287</v>
      </c>
    </row>
    <row r="260" spans="1:16" x14ac:dyDescent="0.3">
      <c r="A260" s="10" t="s">
        <v>225</v>
      </c>
      <c r="B260" s="3" t="s">
        <v>903</v>
      </c>
      <c r="C260" s="4">
        <v>32305347</v>
      </c>
      <c r="D260" s="4">
        <v>36566527.640000008</v>
      </c>
      <c r="E260" s="6">
        <v>4261180.640000008</v>
      </c>
      <c r="F260" s="11">
        <v>1.1319032617108247</v>
      </c>
      <c r="G260" s="18">
        <v>30046775.879999999</v>
      </c>
      <c r="H260" s="11">
        <v>1.216986733819243</v>
      </c>
      <c r="J260" s="4">
        <v>33832100</v>
      </c>
      <c r="K260" s="4">
        <v>37955488</v>
      </c>
      <c r="L260" s="11">
        <v>3.7984475137327854E-2</v>
      </c>
      <c r="M260" s="6">
        <v>4123388</v>
      </c>
      <c r="N260" s="11">
        <v>1.1218779797884257</v>
      </c>
      <c r="O260" s="18">
        <v>33397815.079999998</v>
      </c>
      <c r="P260" s="11">
        <v>1.1364662002314434</v>
      </c>
    </row>
    <row r="261" spans="1:16" x14ac:dyDescent="0.3">
      <c r="A261" s="10" t="s">
        <v>226</v>
      </c>
      <c r="B261" s="3" t="s">
        <v>904</v>
      </c>
      <c r="C261" s="4">
        <v>8338299</v>
      </c>
      <c r="D261" s="4">
        <v>11987167.800000001</v>
      </c>
      <c r="E261" s="6">
        <v>3648868.8000000007</v>
      </c>
      <c r="F261" s="11">
        <v>1.43760349682831</v>
      </c>
      <c r="G261" s="18">
        <v>6641609.6799999997</v>
      </c>
      <c r="H261" s="11">
        <v>1.8048588185025654</v>
      </c>
      <c r="J261" s="4">
        <v>8245551</v>
      </c>
      <c r="K261" s="4">
        <v>12385907</v>
      </c>
      <c r="L261" s="11">
        <v>3.326383735113804E-2</v>
      </c>
      <c r="M261" s="6">
        <v>4140356</v>
      </c>
      <c r="N261" s="11">
        <v>1.5021321194908623</v>
      </c>
      <c r="O261" s="18">
        <v>6777309.0700000012</v>
      </c>
      <c r="P261" s="11">
        <v>1.8275552836783933</v>
      </c>
    </row>
    <row r="262" spans="1:16" x14ac:dyDescent="0.3">
      <c r="A262" s="10" t="s">
        <v>227</v>
      </c>
      <c r="B262" s="3" t="s">
        <v>905</v>
      </c>
      <c r="C262" s="4">
        <v>10900112</v>
      </c>
      <c r="D262" s="4">
        <v>13420354.109999999</v>
      </c>
      <c r="E262" s="6">
        <v>2520242.1099999994</v>
      </c>
      <c r="F262" s="11">
        <v>1.2312124967156299</v>
      </c>
      <c r="G262" s="18">
        <v>9593037.4600000009</v>
      </c>
      <c r="H262" s="11">
        <v>1.3989681751956797</v>
      </c>
      <c r="J262" s="4">
        <v>11126195</v>
      </c>
      <c r="K262" s="4">
        <v>13834578.199999999</v>
      </c>
      <c r="L262" s="11">
        <v>3.0865362165916788E-2</v>
      </c>
      <c r="M262" s="6">
        <v>2708383.1999999993</v>
      </c>
      <c r="N262" s="11">
        <v>1.2434240277111805</v>
      </c>
      <c r="O262" s="18">
        <v>10224749.509999998</v>
      </c>
      <c r="P262" s="11">
        <v>1.3530481295868932</v>
      </c>
    </row>
    <row r="263" spans="1:16" x14ac:dyDescent="0.3">
      <c r="A263" s="10" t="s">
        <v>228</v>
      </c>
      <c r="B263" s="3" t="s">
        <v>906</v>
      </c>
      <c r="C263" s="4">
        <v>30769044</v>
      </c>
      <c r="D263" s="4">
        <v>40834045</v>
      </c>
      <c r="E263" s="6">
        <v>10065001</v>
      </c>
      <c r="F263" s="11">
        <v>1.3271145180851247</v>
      </c>
      <c r="G263" s="18">
        <v>23977455.170000002</v>
      </c>
      <c r="H263" s="11">
        <v>1.7030183024214574</v>
      </c>
      <c r="J263" s="4">
        <v>31933982</v>
      </c>
      <c r="K263" s="4">
        <v>42265705</v>
      </c>
      <c r="L263" s="11">
        <v>3.5060450170929673E-2</v>
      </c>
      <c r="M263" s="6">
        <v>10331723</v>
      </c>
      <c r="N263" s="11">
        <v>1.3235338142296191</v>
      </c>
      <c r="O263" s="18">
        <v>26006774.040000003</v>
      </c>
      <c r="P263" s="11">
        <v>1.6251806139043916</v>
      </c>
    </row>
    <row r="264" spans="1:16" x14ac:dyDescent="0.3">
      <c r="A264" s="10" t="s">
        <v>229</v>
      </c>
      <c r="B264" s="3" t="s">
        <v>907</v>
      </c>
      <c r="C264" s="4">
        <v>13195185</v>
      </c>
      <c r="D264" s="4">
        <v>19045777.830000002</v>
      </c>
      <c r="E264" s="6">
        <v>5850592.8300000019</v>
      </c>
      <c r="F264" s="11">
        <v>1.4433884655652802</v>
      </c>
      <c r="G264" s="18">
        <v>12355223.119999999</v>
      </c>
      <c r="H264" s="11">
        <v>1.541516300031011</v>
      </c>
      <c r="J264" s="4">
        <v>14265560</v>
      </c>
      <c r="K264" s="4">
        <v>20109520</v>
      </c>
      <c r="L264" s="11">
        <v>5.5851862785275277E-2</v>
      </c>
      <c r="M264" s="6">
        <v>5843960</v>
      </c>
      <c r="N264" s="11">
        <v>1.4096551414735909</v>
      </c>
      <c r="O264" s="18">
        <v>14265559.650000002</v>
      </c>
      <c r="P264" s="11">
        <v>1.4096551760589355</v>
      </c>
    </row>
    <row r="265" spans="1:16" x14ac:dyDescent="0.3">
      <c r="A265" s="10" t="s">
        <v>230</v>
      </c>
      <c r="B265" s="3" t="s">
        <v>908</v>
      </c>
      <c r="C265" s="4">
        <v>18506154</v>
      </c>
      <c r="D265" s="4">
        <v>32319914</v>
      </c>
      <c r="E265" s="6">
        <v>13813760</v>
      </c>
      <c r="F265" s="11">
        <v>1.7464414269977435</v>
      </c>
      <c r="G265" s="18">
        <v>17836078.693319999</v>
      </c>
      <c r="H265" s="11">
        <v>1.8120526689593781</v>
      </c>
      <c r="J265" s="4">
        <v>19244948</v>
      </c>
      <c r="K265" s="4">
        <v>38930032.773000002</v>
      </c>
      <c r="L265" s="11">
        <v>0.20452154584941043</v>
      </c>
      <c r="M265" s="6">
        <v>19685084.773000002</v>
      </c>
      <c r="N265" s="11">
        <v>2.0228702500521178</v>
      </c>
      <c r="O265" s="18">
        <v>19041996.94004</v>
      </c>
      <c r="P265" s="11">
        <v>2.0444301559119054</v>
      </c>
    </row>
    <row r="266" spans="1:16" x14ac:dyDescent="0.3">
      <c r="A266" s="10" t="s">
        <v>231</v>
      </c>
      <c r="B266" s="3" t="s">
        <v>909</v>
      </c>
      <c r="C266" s="4">
        <v>33978935</v>
      </c>
      <c r="D266" s="4">
        <v>44151621.890000001</v>
      </c>
      <c r="E266" s="6">
        <v>10172686.890000001</v>
      </c>
      <c r="F266" s="11">
        <v>1.2993821580929479</v>
      </c>
      <c r="G266" s="18">
        <v>31633420.859999996</v>
      </c>
      <c r="H266" s="11">
        <v>1.3957270724972111</v>
      </c>
      <c r="J266" s="4">
        <v>34978358</v>
      </c>
      <c r="K266" s="4">
        <v>46104725</v>
      </c>
      <c r="L266" s="11">
        <v>4.423627097699806E-2</v>
      </c>
      <c r="M266" s="6">
        <v>11126367</v>
      </c>
      <c r="N266" s="11">
        <v>1.318092890466728</v>
      </c>
      <c r="O266" s="18">
        <v>34362938.020000003</v>
      </c>
      <c r="P266" s="11">
        <v>1.3416991577718416</v>
      </c>
    </row>
    <row r="267" spans="1:16" x14ac:dyDescent="0.3">
      <c r="A267" s="10" t="s">
        <v>232</v>
      </c>
      <c r="B267" s="3" t="s">
        <v>910</v>
      </c>
      <c r="C267" s="4">
        <v>8446662</v>
      </c>
      <c r="D267" s="4">
        <v>13404136.379999997</v>
      </c>
      <c r="E267" s="6">
        <v>4957474.3799999971</v>
      </c>
      <c r="F267" s="11">
        <v>1.5869152074511799</v>
      </c>
      <c r="G267" s="18">
        <v>7385184.3199999994</v>
      </c>
      <c r="H267" s="11">
        <v>1.8150036341950093</v>
      </c>
      <c r="J267" s="4">
        <v>8440742.0000003651</v>
      </c>
      <c r="K267" s="4">
        <v>14431196</v>
      </c>
      <c r="L267" s="11">
        <v>7.6622588049197624E-2</v>
      </c>
      <c r="M267" s="6">
        <v>5990453.9999996349</v>
      </c>
      <c r="N267" s="11">
        <v>1.709707037603966</v>
      </c>
      <c r="O267" s="18">
        <v>7612495.6600761265</v>
      </c>
      <c r="P267" s="11">
        <v>1.8957246932414915</v>
      </c>
    </row>
    <row r="268" spans="1:16" x14ac:dyDescent="0.3">
      <c r="A268" s="10" t="s">
        <v>233</v>
      </c>
      <c r="B268" s="3" t="s">
        <v>911</v>
      </c>
      <c r="C268" s="4">
        <v>1265012</v>
      </c>
      <c r="D268" s="4">
        <v>1780192.8925255395</v>
      </c>
      <c r="E268" s="6">
        <v>515180.8925255395</v>
      </c>
      <c r="F268" s="11">
        <v>1.4072537592730658</v>
      </c>
      <c r="G268" s="18">
        <v>1114456.54</v>
      </c>
      <c r="H268" s="11">
        <v>1.5973641220011499</v>
      </c>
      <c r="J268" s="4">
        <v>1269487</v>
      </c>
      <c r="K268" s="4">
        <v>2328943.6299999994</v>
      </c>
      <c r="L268" s="11">
        <v>0.30825352678268109</v>
      </c>
      <c r="M268" s="6">
        <v>1059456.6299999994</v>
      </c>
      <c r="N268" s="11">
        <v>1.8345549265175614</v>
      </c>
      <c r="O268" s="18">
        <v>1180054.7600000002</v>
      </c>
      <c r="P268" s="11">
        <v>1.9735894544419268</v>
      </c>
    </row>
    <row r="269" spans="1:16" x14ac:dyDescent="0.3">
      <c r="A269" s="10" t="s">
        <v>234</v>
      </c>
      <c r="B269" s="3" t="s">
        <v>912</v>
      </c>
      <c r="C269" s="4">
        <v>26140768</v>
      </c>
      <c r="D269" s="4">
        <v>35653902.310000002</v>
      </c>
      <c r="E269" s="6">
        <v>9513134.3100000024</v>
      </c>
      <c r="F269" s="11">
        <v>1.3639194651817423</v>
      </c>
      <c r="G269" s="18">
        <v>23108672.780000001</v>
      </c>
      <c r="H269" s="11">
        <v>1.5428797079535261</v>
      </c>
      <c r="J269" s="4">
        <v>26455230.999998823</v>
      </c>
      <c r="K269" s="4">
        <v>37399427</v>
      </c>
      <c r="L269" s="11">
        <v>4.8957465435990236E-2</v>
      </c>
      <c r="M269" s="6">
        <v>10944196.000001177</v>
      </c>
      <c r="N269" s="11">
        <v>1.4136874102517443</v>
      </c>
      <c r="O269" s="18">
        <v>24040989.472959593</v>
      </c>
      <c r="P269" s="11">
        <v>1.5556525675478323</v>
      </c>
    </row>
    <row r="270" spans="1:16" x14ac:dyDescent="0.3">
      <c r="A270" s="10" t="s">
        <v>235</v>
      </c>
      <c r="B270" s="3" t="s">
        <v>913</v>
      </c>
      <c r="C270" s="4">
        <v>18599770</v>
      </c>
      <c r="D270" s="4">
        <v>32237456</v>
      </c>
      <c r="E270" s="6">
        <v>13637686</v>
      </c>
      <c r="F270" s="11">
        <v>1.7332179914052701</v>
      </c>
      <c r="G270" s="18">
        <v>18587999.26021</v>
      </c>
      <c r="H270" s="11">
        <v>1.7343155413723528</v>
      </c>
      <c r="J270" s="4">
        <v>19460409</v>
      </c>
      <c r="K270" s="4">
        <v>33819086</v>
      </c>
      <c r="L270" s="11">
        <v>4.9061873864984881E-2</v>
      </c>
      <c r="M270" s="6">
        <v>14358677</v>
      </c>
      <c r="N270" s="11">
        <v>1.7378404534046534</v>
      </c>
      <c r="O270" s="18">
        <v>19460408.700000003</v>
      </c>
      <c r="P270" s="11">
        <v>1.7378404801950533</v>
      </c>
    </row>
    <row r="271" spans="1:16" x14ac:dyDescent="0.3">
      <c r="A271" s="10" t="s">
        <v>460</v>
      </c>
      <c r="B271" s="3" t="s">
        <v>629</v>
      </c>
      <c r="C271" s="4">
        <v>14615941</v>
      </c>
      <c r="D271" s="4">
        <v>26249261.289999999</v>
      </c>
      <c r="E271" s="6">
        <v>11633320.289999999</v>
      </c>
      <c r="F271" s="11">
        <v>1.7959337199021259</v>
      </c>
      <c r="G271" s="18">
        <v>13975373.452520002</v>
      </c>
      <c r="H271" s="11">
        <v>1.8782511522271201</v>
      </c>
      <c r="J271" s="4">
        <v>15020620</v>
      </c>
      <c r="K271" s="4">
        <v>27880689.199999999</v>
      </c>
      <c r="L271" s="11">
        <v>6.2151383689472206E-2</v>
      </c>
      <c r="M271" s="6">
        <v>12860069.199999999</v>
      </c>
      <c r="N271" s="11">
        <v>1.8561610106640072</v>
      </c>
      <c r="O271" s="18">
        <v>14799834.747719998</v>
      </c>
      <c r="P271" s="11">
        <v>1.8838513858605876</v>
      </c>
    </row>
    <row r="272" spans="1:16" x14ac:dyDescent="0.3">
      <c r="A272" s="10" t="s">
        <v>236</v>
      </c>
      <c r="B272" s="3" t="s">
        <v>914</v>
      </c>
      <c r="C272" s="4">
        <v>12112788</v>
      </c>
      <c r="D272" s="4">
        <v>20945739.364999995</v>
      </c>
      <c r="E272" s="6">
        <v>8832951.3649999946</v>
      </c>
      <c r="F272" s="11">
        <v>1.7292252918981159</v>
      </c>
      <c r="G272" s="18">
        <v>11375989.939999998</v>
      </c>
      <c r="H272" s="11">
        <v>1.8412234430122922</v>
      </c>
      <c r="J272" s="4">
        <v>12209790</v>
      </c>
      <c r="K272" s="4">
        <v>23257384.675999995</v>
      </c>
      <c r="L272" s="11">
        <v>0.11036350976765824</v>
      </c>
      <c r="M272" s="6">
        <v>11047594.675999995</v>
      </c>
      <c r="N272" s="11">
        <v>1.9048144706829515</v>
      </c>
      <c r="O272" s="18">
        <v>11706772.639999997</v>
      </c>
      <c r="P272" s="11">
        <v>1.9866606614135116</v>
      </c>
    </row>
    <row r="273" spans="1:16" x14ac:dyDescent="0.3">
      <c r="A273" s="10" t="s">
        <v>237</v>
      </c>
      <c r="B273" s="3" t="s">
        <v>915</v>
      </c>
      <c r="C273" s="4">
        <v>21705695</v>
      </c>
      <c r="D273" s="4">
        <v>34633027</v>
      </c>
      <c r="E273" s="6">
        <v>12927332</v>
      </c>
      <c r="F273" s="11">
        <v>1.5955732815742596</v>
      </c>
      <c r="G273" s="18">
        <v>19942249.616000004</v>
      </c>
      <c r="H273" s="11">
        <v>1.7366660064375754</v>
      </c>
      <c r="J273" s="4">
        <v>21693799</v>
      </c>
      <c r="K273" s="4">
        <v>36028513</v>
      </c>
      <c r="L273" s="11">
        <v>4.0293503654762836E-2</v>
      </c>
      <c r="M273" s="6">
        <v>14334714</v>
      </c>
      <c r="N273" s="11">
        <v>1.6607747218456297</v>
      </c>
      <c r="O273" s="18">
        <v>20626908.302099995</v>
      </c>
      <c r="P273" s="11">
        <v>1.7466753850033836</v>
      </c>
    </row>
    <row r="274" spans="1:16" x14ac:dyDescent="0.3">
      <c r="A274" s="10" t="s">
        <v>238</v>
      </c>
      <c r="B274" s="3" t="s">
        <v>916</v>
      </c>
      <c r="C274" s="4">
        <v>29752247</v>
      </c>
      <c r="D274" s="4">
        <v>34459539.460000001</v>
      </c>
      <c r="E274" s="6">
        <v>4707292.4600000009</v>
      </c>
      <c r="F274" s="11">
        <v>1.1582163679939872</v>
      </c>
      <c r="G274" s="18">
        <v>22629367.129999995</v>
      </c>
      <c r="H274" s="11">
        <v>1.5227796368337945</v>
      </c>
      <c r="J274" s="4">
        <v>30678179</v>
      </c>
      <c r="K274" s="4">
        <v>35689162</v>
      </c>
      <c r="L274" s="11">
        <v>3.5683081064601059E-2</v>
      </c>
      <c r="M274" s="6">
        <v>5010983</v>
      </c>
      <c r="N274" s="11">
        <v>1.1633403012610364</v>
      </c>
      <c r="O274" s="18">
        <v>23959502.060000002</v>
      </c>
      <c r="P274" s="11">
        <v>1.4895619245602969</v>
      </c>
    </row>
    <row r="275" spans="1:16" x14ac:dyDescent="0.3">
      <c r="A275" s="10" t="s">
        <v>239</v>
      </c>
      <c r="B275" s="3" t="s">
        <v>240</v>
      </c>
      <c r="C275" s="4">
        <v>20974095</v>
      </c>
      <c r="D275" s="4">
        <v>36388033.289999999</v>
      </c>
      <c r="E275" s="6">
        <v>15413938.289999999</v>
      </c>
      <c r="F275" s="11">
        <v>1.734903617533915</v>
      </c>
      <c r="G275" s="18">
        <v>20768967.640000001</v>
      </c>
      <c r="H275" s="11">
        <v>1.7520386145683262</v>
      </c>
      <c r="J275" s="4">
        <v>22033322</v>
      </c>
      <c r="K275" s="4">
        <v>38562314</v>
      </c>
      <c r="L275" s="11">
        <v>5.9752630560485041E-2</v>
      </c>
      <c r="M275" s="6">
        <v>16528992</v>
      </c>
      <c r="N275" s="11">
        <v>1.7501815659027722</v>
      </c>
      <c r="O275" s="18">
        <v>22033322.210000001</v>
      </c>
      <c r="P275" s="11">
        <v>1.7501815492217594</v>
      </c>
    </row>
    <row r="276" spans="1:16" x14ac:dyDescent="0.3">
      <c r="A276" s="10" t="s">
        <v>241</v>
      </c>
      <c r="B276" s="3" t="s">
        <v>917</v>
      </c>
      <c r="C276" s="4">
        <v>12025072</v>
      </c>
      <c r="D276" s="4">
        <v>19284675</v>
      </c>
      <c r="E276" s="6">
        <v>7259603</v>
      </c>
      <c r="F276" s="11">
        <v>1.6037055744863731</v>
      </c>
      <c r="G276" s="18">
        <v>11519400.35</v>
      </c>
      <c r="H276" s="11">
        <v>1.6741040691410642</v>
      </c>
      <c r="J276" s="4">
        <v>12823121</v>
      </c>
      <c r="K276" s="4">
        <v>20410152</v>
      </c>
      <c r="L276" s="11">
        <v>5.8361211687518719E-2</v>
      </c>
      <c r="M276" s="6">
        <v>7587031</v>
      </c>
      <c r="N276" s="11">
        <v>1.5916680502351963</v>
      </c>
      <c r="O276" s="18">
        <v>12823121.489999998</v>
      </c>
      <c r="P276" s="11">
        <v>1.5916679894140193</v>
      </c>
    </row>
    <row r="277" spans="1:16" x14ac:dyDescent="0.3">
      <c r="A277" s="10" t="s">
        <v>242</v>
      </c>
      <c r="B277" s="3" t="s">
        <v>918</v>
      </c>
      <c r="C277" s="4">
        <v>12457493.000000246</v>
      </c>
      <c r="D277" s="4">
        <v>17226939.140000001</v>
      </c>
      <c r="E277" s="6">
        <v>4769446.1399997547</v>
      </c>
      <c r="F277" s="11">
        <v>1.3828576215133863</v>
      </c>
      <c r="G277" s="18">
        <v>9675020.5800967515</v>
      </c>
      <c r="H277" s="11">
        <v>1.7805583975127555</v>
      </c>
      <c r="J277" s="4">
        <v>12748927.999999749</v>
      </c>
      <c r="K277" s="4">
        <v>18239352.432000004</v>
      </c>
      <c r="L277" s="11">
        <v>5.8769191890231706E-2</v>
      </c>
      <c r="M277" s="6">
        <v>5490424.4320002552</v>
      </c>
      <c r="N277" s="11">
        <v>1.4306577331051178</v>
      </c>
      <c r="O277" s="18">
        <v>10916936.219890831</v>
      </c>
      <c r="P277" s="11">
        <v>1.6707391217297409</v>
      </c>
    </row>
    <row r="278" spans="1:16" x14ac:dyDescent="0.3">
      <c r="A278" s="10" t="s">
        <v>243</v>
      </c>
      <c r="B278" s="3" t="s">
        <v>919</v>
      </c>
      <c r="C278" s="4">
        <v>16093543</v>
      </c>
      <c r="D278" s="4">
        <v>17946563</v>
      </c>
      <c r="E278" s="6">
        <v>1853020</v>
      </c>
      <c r="F278" s="11">
        <v>1.1151405877500062</v>
      </c>
      <c r="G278" s="18">
        <v>14626287.25</v>
      </c>
      <c r="H278" s="11">
        <v>1.2270074211758695</v>
      </c>
      <c r="J278" s="4">
        <v>16984443</v>
      </c>
      <c r="K278" s="4">
        <v>18902094</v>
      </c>
      <c r="L278" s="11">
        <v>5.3243119587856463E-2</v>
      </c>
      <c r="M278" s="6">
        <v>1917651</v>
      </c>
      <c r="N278" s="11">
        <v>1.1129063225682467</v>
      </c>
      <c r="O278" s="18">
        <v>16984442.759999998</v>
      </c>
      <c r="P278" s="11">
        <v>1.112906338294257</v>
      </c>
    </row>
    <row r="279" spans="1:16" x14ac:dyDescent="0.3">
      <c r="A279" s="10" t="s">
        <v>461</v>
      </c>
      <c r="B279" s="3" t="s">
        <v>920</v>
      </c>
      <c r="C279" s="4">
        <v>34777992</v>
      </c>
      <c r="D279" s="4">
        <v>45420591.601220749</v>
      </c>
      <c r="E279" s="6">
        <v>10642599.601220749</v>
      </c>
      <c r="F279" s="11">
        <v>1.3060153559532923</v>
      </c>
      <c r="G279" s="18">
        <v>34773057.486100003</v>
      </c>
      <c r="H279" s="11">
        <v>1.3062006876840477</v>
      </c>
      <c r="J279" s="4">
        <v>37188533</v>
      </c>
      <c r="K279" s="4">
        <v>48467159.960000001</v>
      </c>
      <c r="L279" s="11">
        <v>6.7074607603688066E-2</v>
      </c>
      <c r="M279" s="6">
        <v>11278626.960000001</v>
      </c>
      <c r="N279" s="11">
        <v>1.3032823843844552</v>
      </c>
      <c r="O279" s="18">
        <v>37188533.335978121</v>
      </c>
      <c r="P279" s="11">
        <v>1.3032823726100096</v>
      </c>
    </row>
    <row r="280" spans="1:16" x14ac:dyDescent="0.3">
      <c r="A280" s="10" t="s">
        <v>244</v>
      </c>
      <c r="B280" s="3" t="s">
        <v>921</v>
      </c>
      <c r="C280" s="4">
        <v>1358882</v>
      </c>
      <c r="D280" s="4">
        <v>3057387.1788521181</v>
      </c>
      <c r="E280" s="6">
        <v>1698505.1788521181</v>
      </c>
      <c r="F280" s="11">
        <v>2.2499283814577851</v>
      </c>
      <c r="G280" s="18">
        <v>1358881.8199999998</v>
      </c>
      <c r="H280" s="11">
        <v>2.2499286794874616</v>
      </c>
      <c r="J280" s="4">
        <v>1400562</v>
      </c>
      <c r="K280" s="4">
        <v>3103927</v>
      </c>
      <c r="L280" s="11">
        <v>1.5222089459194722E-2</v>
      </c>
      <c r="M280" s="6">
        <v>1703365</v>
      </c>
      <c r="N280" s="11">
        <v>2.2162010678570461</v>
      </c>
      <c r="O280" s="18">
        <v>1400561.7699999998</v>
      </c>
      <c r="P280" s="11">
        <v>2.216201431801184</v>
      </c>
    </row>
    <row r="281" spans="1:16" x14ac:dyDescent="0.3">
      <c r="A281" s="10" t="s">
        <v>245</v>
      </c>
      <c r="B281" s="3" t="s">
        <v>922</v>
      </c>
      <c r="C281" s="4">
        <v>16534898</v>
      </c>
      <c r="D281" s="4">
        <v>23228971.660000004</v>
      </c>
      <c r="E281" s="6">
        <v>6694073.6600000039</v>
      </c>
      <c r="F281" s="11">
        <v>1.4048451741280776</v>
      </c>
      <c r="G281" s="18">
        <v>16306106.100000001</v>
      </c>
      <c r="H281" s="11">
        <v>1.4245566364860094</v>
      </c>
      <c r="J281" s="4">
        <v>16494413</v>
      </c>
      <c r="K281" s="4">
        <v>24211657</v>
      </c>
      <c r="L281" s="11">
        <v>4.2304298028490339E-2</v>
      </c>
      <c r="M281" s="6">
        <v>7717244</v>
      </c>
      <c r="N281" s="11">
        <v>1.4678701812547073</v>
      </c>
      <c r="O281" s="18">
        <v>16339014.660000002</v>
      </c>
      <c r="P281" s="11">
        <v>1.4818309123176951</v>
      </c>
    </row>
    <row r="282" spans="1:16" x14ac:dyDescent="0.3">
      <c r="A282" s="10" t="s">
        <v>246</v>
      </c>
      <c r="B282" s="3" t="s">
        <v>923</v>
      </c>
      <c r="C282" s="4">
        <v>40403742.000000894</v>
      </c>
      <c r="D282" s="4">
        <v>49497513.639999993</v>
      </c>
      <c r="E282" s="6">
        <v>9093771.6399990991</v>
      </c>
      <c r="F282" s="11">
        <v>1.225072510362998</v>
      </c>
      <c r="G282" s="18">
        <v>33474930.930334739</v>
      </c>
      <c r="H282" s="11">
        <v>1.4786442350847602</v>
      </c>
      <c r="J282" s="4">
        <v>41316328.000000894</v>
      </c>
      <c r="K282" s="4">
        <v>52453831.899999999</v>
      </c>
      <c r="L282" s="11">
        <v>5.9726601249137125E-2</v>
      </c>
      <c r="M282" s="6">
        <v>11137503.899999104</v>
      </c>
      <c r="N282" s="11">
        <v>1.2695666444510476</v>
      </c>
      <c r="O282" s="18">
        <v>37611036.840000004</v>
      </c>
      <c r="P282" s="11">
        <v>1.3946393481025872</v>
      </c>
    </row>
    <row r="283" spans="1:16" x14ac:dyDescent="0.3">
      <c r="A283" s="10" t="s">
        <v>247</v>
      </c>
      <c r="B283" s="3" t="s">
        <v>924</v>
      </c>
      <c r="C283" s="4">
        <v>12392230.000000315</v>
      </c>
      <c r="D283" s="4">
        <v>18539934</v>
      </c>
      <c r="E283" s="6">
        <v>6147703.9999996852</v>
      </c>
      <c r="F283" s="11">
        <v>1.4960934391953287</v>
      </c>
      <c r="G283" s="18">
        <v>12039903.340120399</v>
      </c>
      <c r="H283" s="11">
        <v>1.5398739903683147</v>
      </c>
      <c r="J283" s="4">
        <v>12541084</v>
      </c>
      <c r="K283" s="4">
        <v>19271601</v>
      </c>
      <c r="L283" s="11">
        <v>3.9464379970284687E-2</v>
      </c>
      <c r="M283" s="6">
        <v>6730517</v>
      </c>
      <c r="N283" s="11">
        <v>1.5366774514866497</v>
      </c>
      <c r="O283" s="18">
        <v>12541083.76</v>
      </c>
      <c r="P283" s="11">
        <v>1.536677480894203</v>
      </c>
    </row>
    <row r="284" spans="1:16" x14ac:dyDescent="0.3">
      <c r="A284" s="10" t="s">
        <v>248</v>
      </c>
      <c r="B284" s="3" t="s">
        <v>925</v>
      </c>
      <c r="C284" s="4">
        <v>31777054</v>
      </c>
      <c r="D284" s="4">
        <v>36513795.5</v>
      </c>
      <c r="E284" s="6">
        <v>4736741.5</v>
      </c>
      <c r="F284" s="11">
        <v>1.1490616940135483</v>
      </c>
      <c r="G284" s="18">
        <v>24481014.440000001</v>
      </c>
      <c r="H284" s="11">
        <v>1.4915148058709284</v>
      </c>
      <c r="J284" s="4">
        <v>32721029</v>
      </c>
      <c r="K284" s="4">
        <v>38280374.600000001</v>
      </c>
      <c r="L284" s="11">
        <v>4.8381141314109664E-2</v>
      </c>
      <c r="M284" s="6">
        <v>5559345.6000000015</v>
      </c>
      <c r="N284" s="11">
        <v>1.1699013071991105</v>
      </c>
      <c r="O284" s="18">
        <v>25863556.119999997</v>
      </c>
      <c r="P284" s="11">
        <v>1.4800893745001376</v>
      </c>
    </row>
    <row r="285" spans="1:16" x14ac:dyDescent="0.3">
      <c r="A285" s="10" t="s">
        <v>249</v>
      </c>
      <c r="B285" s="3" t="s">
        <v>1026</v>
      </c>
      <c r="C285" s="4">
        <v>9134506</v>
      </c>
      <c r="D285" s="4">
        <v>13043456.310000001</v>
      </c>
      <c r="E285" s="6">
        <v>3908950.3100000005</v>
      </c>
      <c r="F285" s="11">
        <v>1.4279323162084518</v>
      </c>
      <c r="G285" s="18">
        <v>7287026.7699271282</v>
      </c>
      <c r="H285" s="11">
        <v>1.7899558656527945</v>
      </c>
      <c r="J285" s="4">
        <v>9484178</v>
      </c>
      <c r="K285" s="4">
        <v>13688001</v>
      </c>
      <c r="L285" s="11">
        <v>4.9415176060799752E-2</v>
      </c>
      <c r="M285" s="6">
        <v>4203823</v>
      </c>
      <c r="N285" s="11">
        <v>1.4432458985902628</v>
      </c>
      <c r="O285" s="18">
        <v>8172163.4400000004</v>
      </c>
      <c r="P285" s="11">
        <v>1.6749543863748275</v>
      </c>
    </row>
    <row r="286" spans="1:16" x14ac:dyDescent="0.3">
      <c r="A286" s="10" t="s">
        <v>250</v>
      </c>
      <c r="B286" s="3" t="s">
        <v>926</v>
      </c>
      <c r="C286" s="4">
        <v>27691220</v>
      </c>
      <c r="D286" s="4">
        <v>31945285.550000001</v>
      </c>
      <c r="E286" s="6">
        <v>4254065.5500000007</v>
      </c>
      <c r="F286" s="11">
        <v>1.1536250678012743</v>
      </c>
      <c r="G286" s="18">
        <v>22572922.539774276</v>
      </c>
      <c r="H286" s="11">
        <v>1.415203790900859</v>
      </c>
      <c r="J286" s="4">
        <v>28418383.000001181</v>
      </c>
      <c r="K286" s="4">
        <v>33337259</v>
      </c>
      <c r="L286" s="11">
        <v>4.3573673737281687E-2</v>
      </c>
      <c r="M286" s="6">
        <v>4918875.9999988191</v>
      </c>
      <c r="N286" s="11">
        <v>1.1730878213584008</v>
      </c>
      <c r="O286" s="18">
        <v>25601192.900256008</v>
      </c>
      <c r="P286" s="11">
        <v>1.3021760013247912</v>
      </c>
    </row>
    <row r="287" spans="1:16" x14ac:dyDescent="0.3">
      <c r="A287" s="10" t="s">
        <v>251</v>
      </c>
      <c r="B287" s="3" t="s">
        <v>927</v>
      </c>
      <c r="C287" s="4">
        <v>8352918</v>
      </c>
      <c r="D287" s="4">
        <v>11542473.84</v>
      </c>
      <c r="E287" s="6">
        <v>3189555.84</v>
      </c>
      <c r="F287" s="11">
        <v>1.3818492938635336</v>
      </c>
      <c r="G287" s="18">
        <v>8156581.7700000005</v>
      </c>
      <c r="H287" s="11">
        <v>1.4151116442494758</v>
      </c>
      <c r="J287" s="4">
        <v>8477858</v>
      </c>
      <c r="K287" s="4">
        <v>13282061</v>
      </c>
      <c r="L287" s="11">
        <v>0.15071181309257359</v>
      </c>
      <c r="M287" s="6">
        <v>4804203</v>
      </c>
      <c r="N287" s="11">
        <v>1.5666765119208177</v>
      </c>
      <c r="O287" s="18">
        <v>8477857.6699999999</v>
      </c>
      <c r="P287" s="11">
        <v>1.5666765729035883</v>
      </c>
    </row>
    <row r="288" spans="1:16" x14ac:dyDescent="0.3">
      <c r="A288" s="10" t="s">
        <v>462</v>
      </c>
      <c r="B288" s="3" t="s">
        <v>928</v>
      </c>
      <c r="C288" s="4">
        <v>22103377</v>
      </c>
      <c r="D288" s="4">
        <v>27296544.530000001</v>
      </c>
      <c r="E288" s="6">
        <v>5193167.5300000012</v>
      </c>
      <c r="F288" s="11">
        <v>1.2349490546173103</v>
      </c>
      <c r="G288" s="18">
        <v>21627662.329539999</v>
      </c>
      <c r="H288" s="11">
        <v>1.2621125720423882</v>
      </c>
      <c r="J288" s="4">
        <v>22886572</v>
      </c>
      <c r="K288" s="4">
        <v>27944730</v>
      </c>
      <c r="L288" s="11">
        <v>2.3746063143179785E-2</v>
      </c>
      <c r="M288" s="6">
        <v>5058158</v>
      </c>
      <c r="N288" s="11">
        <v>1.2210098567841441</v>
      </c>
      <c r="O288" s="18">
        <v>22886572.072338864</v>
      </c>
      <c r="P288" s="11">
        <v>1.2210098529248301</v>
      </c>
    </row>
    <row r="289" spans="1:16" x14ac:dyDescent="0.3">
      <c r="A289" s="10" t="s">
        <v>252</v>
      </c>
      <c r="B289" s="3" t="s">
        <v>253</v>
      </c>
      <c r="C289" s="4">
        <v>12690991</v>
      </c>
      <c r="D289" s="4">
        <v>15359142.404279232</v>
      </c>
      <c r="E289" s="6">
        <v>2668151.404279232</v>
      </c>
      <c r="F289" s="11">
        <v>1.2102397995774508</v>
      </c>
      <c r="G289" s="18">
        <v>12639534.48</v>
      </c>
      <c r="H289" s="11">
        <v>1.2151667791707492</v>
      </c>
      <c r="J289" s="4">
        <v>13192994</v>
      </c>
      <c r="K289" s="4">
        <v>16681583</v>
      </c>
      <c r="L289" s="11">
        <v>8.6101200243596993E-2</v>
      </c>
      <c r="M289" s="6">
        <v>3488589</v>
      </c>
      <c r="N289" s="11">
        <v>1.2644273922962446</v>
      </c>
      <c r="O289" s="18">
        <v>13192993.539999999</v>
      </c>
      <c r="P289" s="11">
        <v>1.2644274363830244</v>
      </c>
    </row>
    <row r="290" spans="1:16" x14ac:dyDescent="0.3">
      <c r="A290" s="10" t="s">
        <v>254</v>
      </c>
      <c r="B290" s="3" t="s">
        <v>929</v>
      </c>
      <c r="C290" s="4">
        <v>8501434</v>
      </c>
      <c r="D290" s="4">
        <v>14596086.176858317</v>
      </c>
      <c r="E290" s="6">
        <v>6094652.1768583171</v>
      </c>
      <c r="F290" s="11">
        <v>1.7168969584258746</v>
      </c>
      <c r="G290" s="18">
        <v>7970637.4099999983</v>
      </c>
      <c r="H290" s="11">
        <v>1.8312319863585815</v>
      </c>
      <c r="J290" s="4">
        <v>9121912.0000003893</v>
      </c>
      <c r="K290" s="4">
        <v>15618424</v>
      </c>
      <c r="L290" s="11">
        <v>7.0041914712902331E-2</v>
      </c>
      <c r="M290" s="6">
        <v>6496511.9999996107</v>
      </c>
      <c r="N290" s="11">
        <v>1.7121875326137035</v>
      </c>
      <c r="O290" s="18">
        <v>8757628.3300875779</v>
      </c>
      <c r="P290" s="11">
        <v>1.7834079514817469</v>
      </c>
    </row>
    <row r="291" spans="1:16" x14ac:dyDescent="0.3">
      <c r="A291" s="10" t="s">
        <v>255</v>
      </c>
      <c r="B291" s="3" t="s">
        <v>654</v>
      </c>
      <c r="C291" s="4">
        <v>20960424</v>
      </c>
      <c r="D291" s="4">
        <v>21278964.959999997</v>
      </c>
      <c r="E291" s="6">
        <v>318540.95999999717</v>
      </c>
      <c r="F291" s="11">
        <v>1.015197257460059</v>
      </c>
      <c r="G291" s="18">
        <v>15958927.809999997</v>
      </c>
      <c r="H291" s="11">
        <v>1.3333580559632847</v>
      </c>
      <c r="J291" s="4">
        <v>21538998</v>
      </c>
      <c r="K291" s="4">
        <v>22586556</v>
      </c>
      <c r="L291" s="11">
        <v>6.144993623787625E-2</v>
      </c>
      <c r="M291" s="6">
        <v>1047558</v>
      </c>
      <c r="N291" s="11">
        <v>1.0486354100594653</v>
      </c>
      <c r="O291" s="18">
        <v>17233969.48</v>
      </c>
      <c r="P291" s="11">
        <v>1.310583497679491</v>
      </c>
    </row>
    <row r="292" spans="1:16" x14ac:dyDescent="0.3">
      <c r="A292" s="10" t="s">
        <v>256</v>
      </c>
      <c r="B292" s="3" t="s">
        <v>930</v>
      </c>
      <c r="C292" s="4">
        <v>22885486</v>
      </c>
      <c r="D292" s="4">
        <v>22898530.25</v>
      </c>
      <c r="E292" s="6">
        <v>13044.25</v>
      </c>
      <c r="F292" s="11">
        <v>1.0005699791562215</v>
      </c>
      <c r="G292" s="18">
        <v>18910770.789999999</v>
      </c>
      <c r="H292" s="11">
        <v>1.2108723914156225</v>
      </c>
      <c r="J292" s="4">
        <v>23742017</v>
      </c>
      <c r="K292" s="4">
        <v>23730812</v>
      </c>
      <c r="L292" s="11">
        <v>3.6346513986416223E-2</v>
      </c>
      <c r="M292" s="6">
        <v>-11205</v>
      </c>
      <c r="N292" s="11">
        <v>0.999528051892137</v>
      </c>
      <c r="O292" s="18">
        <v>21076435.030000001</v>
      </c>
      <c r="P292" s="11">
        <v>1.1259405096840041</v>
      </c>
    </row>
    <row r="293" spans="1:16" x14ac:dyDescent="0.3">
      <c r="A293" s="10" t="s">
        <v>257</v>
      </c>
      <c r="B293" s="3" t="s">
        <v>931</v>
      </c>
      <c r="C293" s="4">
        <v>20554610</v>
      </c>
      <c r="D293" s="4">
        <v>23501773.5</v>
      </c>
      <c r="E293" s="6">
        <v>2947163.5</v>
      </c>
      <c r="F293" s="11">
        <v>1.1433821171990128</v>
      </c>
      <c r="G293" s="18">
        <v>20438009.030000001</v>
      </c>
      <c r="H293" s="11">
        <v>1.14990523125334</v>
      </c>
      <c r="J293" s="4">
        <v>21751913</v>
      </c>
      <c r="K293" s="4">
        <v>25087726</v>
      </c>
      <c r="L293" s="11">
        <v>6.7482247669521628E-2</v>
      </c>
      <c r="M293" s="6">
        <v>3335813</v>
      </c>
      <c r="N293" s="11">
        <v>1.1533572242588503</v>
      </c>
      <c r="O293" s="18">
        <v>21751912.98</v>
      </c>
      <c r="P293" s="11">
        <v>1.1533572253193154</v>
      </c>
    </row>
    <row r="294" spans="1:16" x14ac:dyDescent="0.3">
      <c r="A294" s="10" t="s">
        <v>463</v>
      </c>
      <c r="B294" s="3" t="s">
        <v>932</v>
      </c>
      <c r="C294" s="4">
        <v>29398313</v>
      </c>
      <c r="D294" s="4">
        <v>42334952</v>
      </c>
      <c r="E294" s="6">
        <v>12936639</v>
      </c>
      <c r="F294" s="11">
        <v>1.4400469850089697</v>
      </c>
      <c r="G294" s="18">
        <v>24917419.660840005</v>
      </c>
      <c r="H294" s="11">
        <v>1.6990102737858219</v>
      </c>
      <c r="J294" s="4">
        <v>30693281</v>
      </c>
      <c r="K294" s="4">
        <v>44304474</v>
      </c>
      <c r="L294" s="11">
        <v>4.6522362892958989E-2</v>
      </c>
      <c r="M294" s="6">
        <v>13611193</v>
      </c>
      <c r="N294" s="11">
        <v>1.4434583907794021</v>
      </c>
      <c r="O294" s="18">
        <v>28334955.815970004</v>
      </c>
      <c r="P294" s="11">
        <v>1.5635977796382989</v>
      </c>
    </row>
    <row r="295" spans="1:16" x14ac:dyDescent="0.3">
      <c r="A295" s="10" t="s">
        <v>258</v>
      </c>
      <c r="B295" s="3" t="s">
        <v>655</v>
      </c>
      <c r="C295" s="4">
        <v>4544467.0000001183</v>
      </c>
      <c r="D295" s="4">
        <v>12685738.839999994</v>
      </c>
      <c r="E295" s="6">
        <v>8141271.839999876</v>
      </c>
      <c r="F295" s="11">
        <v>2.7914690193590719</v>
      </c>
      <c r="G295" s="18">
        <v>4428346.7900442835</v>
      </c>
      <c r="H295" s="11">
        <v>2.8646669832904248</v>
      </c>
      <c r="J295" s="4">
        <v>5069299.0000001183</v>
      </c>
      <c r="K295" s="4">
        <v>13700519.2388</v>
      </c>
      <c r="L295" s="11">
        <v>7.9993795521018832E-2</v>
      </c>
      <c r="M295" s="6">
        <v>8631220.2387998812</v>
      </c>
      <c r="N295" s="11">
        <v>2.7026457186288835</v>
      </c>
      <c r="O295" s="18">
        <v>5035196.55</v>
      </c>
      <c r="P295" s="11">
        <v>2.7209502355573392</v>
      </c>
    </row>
    <row r="296" spans="1:16" x14ac:dyDescent="0.3">
      <c r="A296" s="10" t="s">
        <v>259</v>
      </c>
      <c r="B296" s="3" t="s">
        <v>933</v>
      </c>
      <c r="C296" s="4">
        <v>74964441</v>
      </c>
      <c r="D296" s="4">
        <v>95087529.74000001</v>
      </c>
      <c r="E296" s="6">
        <v>20123088.74000001</v>
      </c>
      <c r="F296" s="11">
        <v>1.2684351203259157</v>
      </c>
      <c r="G296" s="18">
        <v>73176176.700000003</v>
      </c>
      <c r="H296" s="11">
        <v>1.2994328759458131</v>
      </c>
      <c r="J296" s="4">
        <v>79469579</v>
      </c>
      <c r="K296" s="4">
        <v>99193516</v>
      </c>
      <c r="L296" s="11">
        <v>4.318112239561888E-2</v>
      </c>
      <c r="M296" s="6">
        <v>19723937</v>
      </c>
      <c r="N296" s="11">
        <v>1.2481948092363746</v>
      </c>
      <c r="O296" s="18">
        <v>79469578.500000015</v>
      </c>
      <c r="P296" s="11">
        <v>1.2481948170896613</v>
      </c>
    </row>
    <row r="297" spans="1:16" x14ac:dyDescent="0.3">
      <c r="A297" s="10" t="s">
        <v>464</v>
      </c>
      <c r="B297" s="3" t="s">
        <v>628</v>
      </c>
      <c r="C297" s="4">
        <v>15026077</v>
      </c>
      <c r="D297" s="4">
        <v>16445611.128807951</v>
      </c>
      <c r="E297" s="6">
        <v>1419534.1288079508</v>
      </c>
      <c r="F297" s="11">
        <v>1.0944713732538407</v>
      </c>
      <c r="G297" s="18">
        <v>14365916.490000002</v>
      </c>
      <c r="H297" s="11">
        <v>1.1447658866912951</v>
      </c>
      <c r="J297" s="4">
        <v>15368248</v>
      </c>
      <c r="K297" s="4">
        <v>17882199</v>
      </c>
      <c r="L297" s="11">
        <v>8.73538757508113E-2</v>
      </c>
      <c r="M297" s="6">
        <v>2513951</v>
      </c>
      <c r="N297" s="11">
        <v>1.1635808453897933</v>
      </c>
      <c r="O297" s="18">
        <v>15230825.089999996</v>
      </c>
      <c r="P297" s="11">
        <v>1.1740794667611802</v>
      </c>
    </row>
    <row r="298" spans="1:16" x14ac:dyDescent="0.3">
      <c r="A298" s="10" t="s">
        <v>465</v>
      </c>
      <c r="B298" s="3" t="s">
        <v>934</v>
      </c>
      <c r="C298" s="4">
        <v>46038165</v>
      </c>
      <c r="D298" s="4">
        <v>53061318</v>
      </c>
      <c r="E298" s="6">
        <v>7023153</v>
      </c>
      <c r="F298" s="11">
        <v>1.1525506718176104</v>
      </c>
      <c r="G298" s="18">
        <v>40067180.660000011</v>
      </c>
      <c r="H298" s="11">
        <v>1.324308751600592</v>
      </c>
      <c r="J298" s="4">
        <v>47199282</v>
      </c>
      <c r="K298" s="4">
        <v>54082328</v>
      </c>
      <c r="L298" s="11">
        <v>1.9242077628000117E-2</v>
      </c>
      <c r="M298" s="6">
        <v>6883046</v>
      </c>
      <c r="N298" s="11">
        <v>1.1458294641007463</v>
      </c>
      <c r="O298" s="18">
        <v>42679524.109999999</v>
      </c>
      <c r="P298" s="11">
        <v>1.267172704658351</v>
      </c>
    </row>
    <row r="299" spans="1:16" x14ac:dyDescent="0.3">
      <c r="A299" s="10" t="s">
        <v>260</v>
      </c>
      <c r="B299" s="3" t="s">
        <v>935</v>
      </c>
      <c r="C299" s="4">
        <v>18055681.669999994</v>
      </c>
      <c r="D299" s="4">
        <v>17317946.010000005</v>
      </c>
      <c r="E299" s="6">
        <v>-737735.65999998897</v>
      </c>
      <c r="F299" s="11">
        <v>0.95914107960677242</v>
      </c>
      <c r="G299" s="18">
        <v>17308906.848700002</v>
      </c>
      <c r="H299" s="11">
        <v>1.0005222260064726</v>
      </c>
      <c r="J299" s="4">
        <v>19649763.659999989</v>
      </c>
      <c r="K299" s="4">
        <v>19175829.400000002</v>
      </c>
      <c r="L299" s="11">
        <v>0.10728081661226961</v>
      </c>
      <c r="M299" s="6">
        <v>-473934.25999998674</v>
      </c>
      <c r="N299" s="11">
        <v>0.97588091805069643</v>
      </c>
      <c r="O299" s="18">
        <v>18912027.71474912</v>
      </c>
      <c r="P299" s="11">
        <v>1.0139488842354618</v>
      </c>
    </row>
    <row r="300" spans="1:16" x14ac:dyDescent="0.3">
      <c r="A300" s="10" t="s">
        <v>261</v>
      </c>
      <c r="B300" s="3" t="s">
        <v>936</v>
      </c>
      <c r="C300" s="4">
        <v>21351537</v>
      </c>
      <c r="D300" s="4">
        <v>22955954.569999997</v>
      </c>
      <c r="E300" s="6">
        <v>1604417.5699999966</v>
      </c>
      <c r="F300" s="11">
        <v>1.0751429543456283</v>
      </c>
      <c r="G300" s="18">
        <v>20972471.779999997</v>
      </c>
      <c r="H300" s="11">
        <v>1.0945755374381532</v>
      </c>
      <c r="J300" s="4">
        <v>22300397</v>
      </c>
      <c r="K300" s="4">
        <v>24639341</v>
      </c>
      <c r="L300" s="11">
        <v>7.3331144861209036E-2</v>
      </c>
      <c r="M300" s="6">
        <v>2338944</v>
      </c>
      <c r="N300" s="11">
        <v>1.1048835139571731</v>
      </c>
      <c r="O300" s="18">
        <v>22300397.41</v>
      </c>
      <c r="P300" s="11">
        <v>1.1048834936435332</v>
      </c>
    </row>
    <row r="301" spans="1:16" x14ac:dyDescent="0.3">
      <c r="A301" s="10" t="s">
        <v>262</v>
      </c>
      <c r="B301" s="3" t="s">
        <v>937</v>
      </c>
      <c r="C301" s="4">
        <v>16986417</v>
      </c>
      <c r="D301" s="4">
        <v>18562008.300000001</v>
      </c>
      <c r="E301" s="6">
        <v>1575591.3000000007</v>
      </c>
      <c r="F301" s="11">
        <v>1.092755953183064</v>
      </c>
      <c r="G301" s="18">
        <v>16985563.998199999</v>
      </c>
      <c r="H301" s="11">
        <v>1.0928108305362754</v>
      </c>
      <c r="J301" s="4">
        <v>18993507</v>
      </c>
      <c r="K301" s="4">
        <v>20897993.09</v>
      </c>
      <c r="L301" s="11">
        <v>0.12584763201511978</v>
      </c>
      <c r="M301" s="6">
        <v>1904486.0899999999</v>
      </c>
      <c r="N301" s="11">
        <v>1.1002703760816788</v>
      </c>
      <c r="O301" s="18">
        <v>18993506.711260065</v>
      </c>
      <c r="P301" s="11">
        <v>1.1002703928080264</v>
      </c>
    </row>
    <row r="302" spans="1:16" x14ac:dyDescent="0.3">
      <c r="A302" s="10" t="s">
        <v>263</v>
      </c>
      <c r="B302" s="3" t="s">
        <v>938</v>
      </c>
      <c r="C302" s="4">
        <v>24406458</v>
      </c>
      <c r="D302" s="4">
        <v>24484966</v>
      </c>
      <c r="E302" s="6">
        <v>78508</v>
      </c>
      <c r="F302" s="11">
        <v>1.0032166896155108</v>
      </c>
      <c r="G302" s="18">
        <v>24404455.759999998</v>
      </c>
      <c r="H302" s="11">
        <v>1.0032989975597801</v>
      </c>
      <c r="J302" s="4">
        <v>25870714</v>
      </c>
      <c r="K302" s="4">
        <v>25994728</v>
      </c>
      <c r="L302" s="11">
        <v>6.1660775840979315E-2</v>
      </c>
      <c r="M302" s="6">
        <v>124014</v>
      </c>
      <c r="N302" s="11">
        <v>1.0047936056190796</v>
      </c>
      <c r="O302" s="18">
        <v>25870713.669741295</v>
      </c>
      <c r="P302" s="11">
        <v>1.0047936184460096</v>
      </c>
    </row>
    <row r="303" spans="1:16" x14ac:dyDescent="0.3">
      <c r="A303" s="10" t="s">
        <v>264</v>
      </c>
      <c r="B303" s="3" t="s">
        <v>939</v>
      </c>
      <c r="C303" s="4">
        <v>11962916</v>
      </c>
      <c r="D303" s="4">
        <v>14602231.5</v>
      </c>
      <c r="E303" s="6">
        <v>2639315.5</v>
      </c>
      <c r="F303" s="11">
        <v>1.2206247623907081</v>
      </c>
      <c r="G303" s="18">
        <v>11917313.979880825</v>
      </c>
      <c r="H303" s="11">
        <v>1.2252955258753722</v>
      </c>
      <c r="J303" s="4">
        <v>13454323</v>
      </c>
      <c r="K303" s="4">
        <v>14790101</v>
      </c>
      <c r="L303" s="11">
        <v>1.2865807530855814E-2</v>
      </c>
      <c r="M303" s="6">
        <v>1335778</v>
      </c>
      <c r="N303" s="11">
        <v>1.0992824388116742</v>
      </c>
      <c r="O303" s="18">
        <v>13454322.920269083</v>
      </c>
      <c r="P303" s="11">
        <v>1.0992824453260708</v>
      </c>
    </row>
    <row r="304" spans="1:16" x14ac:dyDescent="0.3">
      <c r="A304" s="10" t="s">
        <v>265</v>
      </c>
      <c r="B304" s="3" t="s">
        <v>656</v>
      </c>
      <c r="C304" s="4">
        <v>22210954</v>
      </c>
      <c r="D304" s="4">
        <v>22484943.330000002</v>
      </c>
      <c r="E304" s="6">
        <v>273989.33000000194</v>
      </c>
      <c r="F304" s="11">
        <v>1.0123357749514046</v>
      </c>
      <c r="G304" s="18">
        <v>22210361.840000004</v>
      </c>
      <c r="H304" s="11">
        <v>1.0123627652704643</v>
      </c>
      <c r="J304" s="4">
        <v>24470236</v>
      </c>
      <c r="K304" s="4">
        <v>24531384</v>
      </c>
      <c r="L304" s="11">
        <v>9.1013823782672518E-2</v>
      </c>
      <c r="M304" s="6">
        <v>61148</v>
      </c>
      <c r="N304" s="11">
        <v>1.002498872507809</v>
      </c>
      <c r="O304" s="18">
        <v>24470236.15951059</v>
      </c>
      <c r="P304" s="11">
        <v>1.0024988659729646</v>
      </c>
    </row>
    <row r="305" spans="1:16" x14ac:dyDescent="0.3">
      <c r="A305" s="10" t="s">
        <v>266</v>
      </c>
      <c r="B305" s="3" t="s">
        <v>940</v>
      </c>
      <c r="C305" s="4">
        <v>10082101</v>
      </c>
      <c r="D305" s="4">
        <v>11012838</v>
      </c>
      <c r="E305" s="6">
        <v>930737</v>
      </c>
      <c r="F305" s="11">
        <v>1.0923157782291608</v>
      </c>
      <c r="G305" s="18">
        <v>10081677.069899183</v>
      </c>
      <c r="H305" s="11">
        <v>1.0923617096287461</v>
      </c>
      <c r="J305" s="4">
        <v>10955191</v>
      </c>
      <c r="K305" s="4">
        <v>12058220</v>
      </c>
      <c r="L305" s="11">
        <v>9.4923942402494257E-2</v>
      </c>
      <c r="M305" s="6">
        <v>1103029</v>
      </c>
      <c r="N305" s="11">
        <v>1.1006855106405722</v>
      </c>
      <c r="O305" s="18">
        <v>10955190.530000001</v>
      </c>
      <c r="P305" s="11">
        <v>1.1006855578622237</v>
      </c>
    </row>
    <row r="306" spans="1:16" x14ac:dyDescent="0.3">
      <c r="A306" s="10" t="s">
        <v>267</v>
      </c>
      <c r="B306" s="3" t="s">
        <v>941</v>
      </c>
      <c r="C306" s="4">
        <v>29872101.740000002</v>
      </c>
      <c r="D306" s="4">
        <v>28448329</v>
      </c>
      <c r="E306" s="6">
        <v>-1423772.7400000021</v>
      </c>
      <c r="F306" s="11">
        <v>0.95233771120652311</v>
      </c>
      <c r="G306" s="18">
        <v>28548221.689714517</v>
      </c>
      <c r="H306" s="11">
        <v>0.99650091375917449</v>
      </c>
      <c r="J306" s="4">
        <v>30643453.740000002</v>
      </c>
      <c r="K306" s="4">
        <v>30651859</v>
      </c>
      <c r="L306" s="11">
        <v>7.7457273501020038E-2</v>
      </c>
      <c r="M306" s="6">
        <v>8405.2599999979138</v>
      </c>
      <c r="N306" s="11">
        <v>1.0002742921888412</v>
      </c>
      <c r="O306" s="18">
        <v>29219681.09</v>
      </c>
      <c r="P306" s="11">
        <v>1.0490141526729442</v>
      </c>
    </row>
    <row r="307" spans="1:16" x14ac:dyDescent="0.3">
      <c r="A307" s="10" t="s">
        <v>268</v>
      </c>
      <c r="B307" s="3" t="s">
        <v>942</v>
      </c>
      <c r="C307" s="4">
        <v>37229542.814149991</v>
      </c>
      <c r="D307" s="4">
        <v>35642835.649999999</v>
      </c>
      <c r="E307" s="6">
        <v>-1586707.1641499922</v>
      </c>
      <c r="F307" s="11">
        <v>0.95738042843902649</v>
      </c>
      <c r="G307" s="18">
        <v>35868845.641520008</v>
      </c>
      <c r="H307" s="11">
        <v>0.9936989889839557</v>
      </c>
      <c r="J307" s="4">
        <v>40640230.164149992</v>
      </c>
      <c r="K307" s="4">
        <v>38819074</v>
      </c>
      <c r="L307" s="11">
        <v>8.9112953334845049E-2</v>
      </c>
      <c r="M307" s="6">
        <v>-1821156.1641499922</v>
      </c>
      <c r="N307" s="11">
        <v>0.95518834030235167</v>
      </c>
      <c r="O307" s="18">
        <v>39053522.538119987</v>
      </c>
      <c r="P307" s="11">
        <v>0.9939967377362402</v>
      </c>
    </row>
    <row r="308" spans="1:16" x14ac:dyDescent="0.3">
      <c r="A308" s="10" t="s">
        <v>269</v>
      </c>
      <c r="B308" s="3" t="s">
        <v>943</v>
      </c>
      <c r="C308" s="4">
        <v>41131355</v>
      </c>
      <c r="D308" s="4">
        <v>44864959.530000001</v>
      </c>
      <c r="E308" s="6">
        <v>3733604.5300000012</v>
      </c>
      <c r="F308" s="11">
        <v>1.090772709287112</v>
      </c>
      <c r="G308" s="18">
        <v>41130342.100000001</v>
      </c>
      <c r="H308" s="11">
        <v>1.0907995712975118</v>
      </c>
      <c r="J308" s="4">
        <v>43594627</v>
      </c>
      <c r="K308" s="4">
        <v>44197104.800000004</v>
      </c>
      <c r="L308" s="11">
        <v>-1.4885887271411002E-2</v>
      </c>
      <c r="M308" s="6">
        <v>602477.80000000447</v>
      </c>
      <c r="N308" s="11">
        <v>1.013820001258412</v>
      </c>
      <c r="O308" s="18">
        <v>43594626.830435947</v>
      </c>
      <c r="P308" s="11">
        <v>1.013820005201729</v>
      </c>
    </row>
    <row r="309" spans="1:16" x14ac:dyDescent="0.3">
      <c r="A309" s="10" t="s">
        <v>270</v>
      </c>
      <c r="B309" s="3" t="s">
        <v>944</v>
      </c>
      <c r="C309" s="4">
        <v>48330148.839999996</v>
      </c>
      <c r="D309" s="4">
        <v>46897097.020000003</v>
      </c>
      <c r="E309" s="6">
        <v>-1433051.8199999928</v>
      </c>
      <c r="F309" s="11">
        <v>0.97034869839229754</v>
      </c>
      <c r="G309" s="18">
        <v>46396730.020000003</v>
      </c>
      <c r="H309" s="11">
        <v>1.0107845315776416</v>
      </c>
      <c r="J309" s="4">
        <v>50782551.819999993</v>
      </c>
      <c r="K309" s="4">
        <v>49332098</v>
      </c>
      <c r="L309" s="11">
        <v>5.1922211282322064E-2</v>
      </c>
      <c r="M309" s="6">
        <v>-1450453.8199999928</v>
      </c>
      <c r="N309" s="11">
        <v>0.97143794929523897</v>
      </c>
      <c r="O309" s="18">
        <v>49349500.229999997</v>
      </c>
      <c r="P309" s="11">
        <v>0.99964736765481121</v>
      </c>
    </row>
    <row r="310" spans="1:16" x14ac:dyDescent="0.3">
      <c r="A310" s="10" t="s">
        <v>271</v>
      </c>
      <c r="B310" s="3" t="s">
        <v>945</v>
      </c>
      <c r="C310" s="4">
        <v>16562352</v>
      </c>
      <c r="D310" s="4">
        <v>19331527.970000006</v>
      </c>
      <c r="E310" s="6">
        <v>2769175.9700000063</v>
      </c>
      <c r="F310" s="11">
        <v>1.1671970243115233</v>
      </c>
      <c r="G310" s="18">
        <v>16551959.786334479</v>
      </c>
      <c r="H310" s="11">
        <v>1.167929853597178</v>
      </c>
      <c r="J310" s="4">
        <v>18188256</v>
      </c>
      <c r="K310" s="4">
        <v>21319584.050000001</v>
      </c>
      <c r="L310" s="11">
        <v>0.10284009019282886</v>
      </c>
      <c r="M310" s="6">
        <v>3131328.0500000007</v>
      </c>
      <c r="N310" s="11">
        <v>1.1721620835994391</v>
      </c>
      <c r="O310" s="18">
        <v>18188255.970868111</v>
      </c>
      <c r="P310" s="11">
        <v>1.1721620854768757</v>
      </c>
    </row>
    <row r="311" spans="1:16" x14ac:dyDescent="0.3">
      <c r="A311" s="10" t="s">
        <v>466</v>
      </c>
      <c r="B311" s="3" t="s">
        <v>946</v>
      </c>
      <c r="C311" s="4">
        <v>9892583</v>
      </c>
      <c r="D311" s="4">
        <v>11195660</v>
      </c>
      <c r="E311" s="6">
        <v>1303077</v>
      </c>
      <c r="F311" s="11">
        <v>1.1317226249201042</v>
      </c>
      <c r="G311" s="18">
        <v>9892046.4984500017</v>
      </c>
      <c r="H311" s="11">
        <v>1.1317840046298067</v>
      </c>
      <c r="J311" s="4">
        <v>10873494</v>
      </c>
      <c r="K311" s="4">
        <v>14513101</v>
      </c>
      <c r="L311" s="11">
        <v>0.29631491131384841</v>
      </c>
      <c r="M311" s="6">
        <v>3639607</v>
      </c>
      <c r="N311" s="11">
        <v>1.3347228590920268</v>
      </c>
      <c r="O311" s="18">
        <v>10873494.496371264</v>
      </c>
      <c r="P311" s="11">
        <v>1.3347227981623899</v>
      </c>
    </row>
    <row r="312" spans="1:16" x14ac:dyDescent="0.3">
      <c r="A312" s="10" t="s">
        <v>272</v>
      </c>
      <c r="B312" s="3" t="s">
        <v>947</v>
      </c>
      <c r="C312" s="4">
        <v>25948545</v>
      </c>
      <c r="D312" s="4">
        <v>26008100.699999996</v>
      </c>
      <c r="E312" s="6">
        <v>59555.69999999553</v>
      </c>
      <c r="F312" s="11">
        <v>1.0022951460284188</v>
      </c>
      <c r="G312" s="18">
        <v>25893443.339741066</v>
      </c>
      <c r="H312" s="11">
        <v>1.0044280460792541</v>
      </c>
      <c r="J312" s="4">
        <v>27936176</v>
      </c>
      <c r="K312" s="4">
        <v>27947625.5</v>
      </c>
      <c r="L312" s="11">
        <v>7.4573873054867276E-2</v>
      </c>
      <c r="M312" s="6">
        <v>11449.5</v>
      </c>
      <c r="N312" s="11">
        <v>1.0004098449265211</v>
      </c>
      <c r="O312" s="18">
        <v>27936175.670000002</v>
      </c>
      <c r="P312" s="11">
        <v>1.000409856744003</v>
      </c>
    </row>
    <row r="313" spans="1:16" x14ac:dyDescent="0.3">
      <c r="A313" s="10" t="s">
        <v>273</v>
      </c>
      <c r="B313" s="3" t="s">
        <v>948</v>
      </c>
      <c r="C313" s="4">
        <v>8585004</v>
      </c>
      <c r="D313" s="4">
        <v>9058662.4399999995</v>
      </c>
      <c r="E313" s="6">
        <v>473658.43999999948</v>
      </c>
      <c r="F313" s="11">
        <v>1.0551727687022627</v>
      </c>
      <c r="G313" s="18">
        <v>8582446.4999999981</v>
      </c>
      <c r="H313" s="11">
        <v>1.055487201697092</v>
      </c>
      <c r="J313" s="4">
        <v>9724718</v>
      </c>
      <c r="K313" s="4">
        <v>9811511</v>
      </c>
      <c r="L313" s="11">
        <v>8.3108137099322202E-2</v>
      </c>
      <c r="M313" s="6">
        <v>86793</v>
      </c>
      <c r="N313" s="11">
        <v>1.008924988878855</v>
      </c>
      <c r="O313" s="18">
        <v>9724718.370000001</v>
      </c>
      <c r="P313" s="11">
        <v>1.008924950491908</v>
      </c>
    </row>
    <row r="314" spans="1:16" x14ac:dyDescent="0.3">
      <c r="A314" s="10" t="s">
        <v>274</v>
      </c>
      <c r="B314" s="3" t="s">
        <v>949</v>
      </c>
      <c r="C314" s="4">
        <v>12414514</v>
      </c>
      <c r="D314" s="4">
        <v>12873353</v>
      </c>
      <c r="E314" s="6">
        <v>458839</v>
      </c>
      <c r="F314" s="11">
        <v>1.0369598842129462</v>
      </c>
      <c r="G314" s="18">
        <v>11843081.30975157</v>
      </c>
      <c r="H314" s="11">
        <v>1.0869935503524835</v>
      </c>
      <c r="J314" s="4">
        <v>13039565</v>
      </c>
      <c r="K314" s="4">
        <v>14514934</v>
      </c>
      <c r="L314" s="11">
        <v>0.12751774926081808</v>
      </c>
      <c r="M314" s="6">
        <v>1475369</v>
      </c>
      <c r="N314" s="11">
        <v>1.1131455688897598</v>
      </c>
      <c r="O314" s="18">
        <v>13039564.664050002</v>
      </c>
      <c r="P314" s="11">
        <v>1.1131455975687272</v>
      </c>
    </row>
    <row r="315" spans="1:16" x14ac:dyDescent="0.3">
      <c r="A315" s="10" t="s">
        <v>275</v>
      </c>
      <c r="B315" s="3" t="s">
        <v>950</v>
      </c>
      <c r="C315" s="4">
        <v>25599183</v>
      </c>
      <c r="D315" s="4">
        <v>26086002.009999998</v>
      </c>
      <c r="E315" s="6">
        <v>486819.00999999791</v>
      </c>
      <c r="F315" s="11">
        <v>1.0190169744870372</v>
      </c>
      <c r="G315" s="18">
        <v>25599015.769705985</v>
      </c>
      <c r="H315" s="11">
        <v>1.0190236314034509</v>
      </c>
      <c r="J315" s="4">
        <v>28012737</v>
      </c>
      <c r="K315" s="4">
        <v>29139850</v>
      </c>
      <c r="L315" s="11">
        <v>0.11706845643994498</v>
      </c>
      <c r="M315" s="6">
        <v>1127113</v>
      </c>
      <c r="N315" s="11">
        <v>1.0402357327668481</v>
      </c>
      <c r="O315" s="18">
        <v>28012736.845560264</v>
      </c>
      <c r="P315" s="11">
        <v>1.0402357385018726</v>
      </c>
    </row>
    <row r="316" spans="1:16" x14ac:dyDescent="0.3">
      <c r="A316" s="10" t="s">
        <v>276</v>
      </c>
      <c r="B316" s="3" t="s">
        <v>951</v>
      </c>
      <c r="C316" s="4">
        <v>8922142.000000149</v>
      </c>
      <c r="D316" s="4">
        <v>10302389</v>
      </c>
      <c r="E316" s="6">
        <v>1380246.999999851</v>
      </c>
      <c r="F316" s="11">
        <v>1.1546990621758573</v>
      </c>
      <c r="G316" s="18">
        <v>8771732.7200877182</v>
      </c>
      <c r="H316" s="11">
        <v>1.174498736880913</v>
      </c>
      <c r="J316" s="4">
        <v>9593177</v>
      </c>
      <c r="K316" s="4">
        <v>11890628</v>
      </c>
      <c r="L316" s="11">
        <v>0.1541622045139239</v>
      </c>
      <c r="M316" s="6">
        <v>2297451</v>
      </c>
      <c r="N316" s="11">
        <v>1.2394880236234564</v>
      </c>
      <c r="O316" s="18">
        <v>9593176.8600959312</v>
      </c>
      <c r="P316" s="11">
        <v>1.2394880416997851</v>
      </c>
    </row>
    <row r="317" spans="1:16" x14ac:dyDescent="0.3">
      <c r="A317" s="10" t="s">
        <v>277</v>
      </c>
      <c r="B317" s="3" t="s">
        <v>952</v>
      </c>
      <c r="C317" s="4">
        <v>10627463</v>
      </c>
      <c r="D317" s="4">
        <v>12335625.5</v>
      </c>
      <c r="E317" s="6">
        <v>1708162.5</v>
      </c>
      <c r="F317" s="11">
        <v>1.1607309759629367</v>
      </c>
      <c r="G317" s="18">
        <v>10521613.089894783</v>
      </c>
      <c r="H317" s="11">
        <v>1.1724082034386381</v>
      </c>
      <c r="J317" s="4">
        <v>11620604</v>
      </c>
      <c r="K317" s="4">
        <v>13458087.860000001</v>
      </c>
      <c r="L317" s="11">
        <v>9.0993550347325411E-2</v>
      </c>
      <c r="M317" s="6">
        <v>1837483.8600000013</v>
      </c>
      <c r="N317" s="11">
        <v>1.1581229220099059</v>
      </c>
      <c r="O317" s="18">
        <v>11620603.830116205</v>
      </c>
      <c r="P317" s="11">
        <v>1.158122938940723</v>
      </c>
    </row>
    <row r="318" spans="1:16" x14ac:dyDescent="0.3">
      <c r="A318" s="10" t="s">
        <v>278</v>
      </c>
      <c r="B318" s="3" t="s">
        <v>953</v>
      </c>
      <c r="C318" s="4">
        <v>25076656</v>
      </c>
      <c r="D318" s="4">
        <v>31691092.170000002</v>
      </c>
      <c r="E318" s="6">
        <v>6614436.1700000018</v>
      </c>
      <c r="F318" s="11">
        <v>1.2637686687571104</v>
      </c>
      <c r="G318" s="18">
        <v>22505083.522360001</v>
      </c>
      <c r="H318" s="11">
        <v>1.4081748303005945</v>
      </c>
      <c r="J318" s="4">
        <v>25776372</v>
      </c>
      <c r="K318" s="4">
        <v>34070649</v>
      </c>
      <c r="L318" s="11">
        <v>7.5085983696471584E-2</v>
      </c>
      <c r="M318" s="6">
        <v>8294277</v>
      </c>
      <c r="N318" s="11">
        <v>1.3217782937024651</v>
      </c>
      <c r="O318" s="18">
        <v>24071025.330000002</v>
      </c>
      <c r="P318" s="11">
        <v>1.4154215922633486</v>
      </c>
    </row>
    <row r="319" spans="1:16" x14ac:dyDescent="0.3">
      <c r="A319" s="10" t="s">
        <v>279</v>
      </c>
      <c r="B319" s="3" t="s">
        <v>954</v>
      </c>
      <c r="C319" s="4">
        <v>31199920</v>
      </c>
      <c r="D319" s="4">
        <v>31237248</v>
      </c>
      <c r="E319" s="6">
        <v>37328</v>
      </c>
      <c r="F319" s="11">
        <v>1.0011964133241367</v>
      </c>
      <c r="G319" s="18">
        <v>31199664.219999995</v>
      </c>
      <c r="H319" s="11">
        <v>1.0012046212976842</v>
      </c>
      <c r="J319" s="4">
        <v>32362813</v>
      </c>
      <c r="K319" s="4">
        <v>31709588</v>
      </c>
      <c r="L319" s="11">
        <v>1.512105035629259E-2</v>
      </c>
      <c r="M319" s="6">
        <v>-653225</v>
      </c>
      <c r="N319" s="11">
        <v>0.97981556794831159</v>
      </c>
      <c r="O319" s="18">
        <v>32362813.119999997</v>
      </c>
      <c r="P319" s="11">
        <v>0.97981556431519523</v>
      </c>
    </row>
    <row r="320" spans="1:16" x14ac:dyDescent="0.3">
      <c r="A320" s="10" t="s">
        <v>280</v>
      </c>
      <c r="B320" s="3" t="s">
        <v>955</v>
      </c>
      <c r="C320" s="4">
        <v>10503691</v>
      </c>
      <c r="D320" s="4">
        <v>10554938.300000001</v>
      </c>
      <c r="E320" s="6">
        <v>51247.300000000745</v>
      </c>
      <c r="F320" s="11">
        <v>1.0048789801604028</v>
      </c>
      <c r="G320" s="18">
        <v>10334881.008950002</v>
      </c>
      <c r="H320" s="11">
        <v>1.0212926777637235</v>
      </c>
      <c r="J320" s="4">
        <v>11690753</v>
      </c>
      <c r="K320" s="4">
        <v>12867119</v>
      </c>
      <c r="L320" s="11">
        <v>0.21906150791994672</v>
      </c>
      <c r="M320" s="6">
        <v>1176366</v>
      </c>
      <c r="N320" s="11">
        <v>1.1006236296327534</v>
      </c>
      <c r="O320" s="18">
        <v>11690753.246806186</v>
      </c>
      <c r="P320" s="11">
        <v>1.1006236063972343</v>
      </c>
    </row>
    <row r="321" spans="1:16" x14ac:dyDescent="0.3">
      <c r="A321" s="10" t="s">
        <v>281</v>
      </c>
      <c r="B321" s="3" t="s">
        <v>956</v>
      </c>
      <c r="C321" s="4">
        <v>21418371</v>
      </c>
      <c r="D321" s="4">
        <v>21452569.730000004</v>
      </c>
      <c r="E321" s="6">
        <v>34198.730000004172</v>
      </c>
      <c r="F321" s="11">
        <v>1.0015967007948459</v>
      </c>
      <c r="G321" s="18">
        <v>21417723.040214177</v>
      </c>
      <c r="H321" s="11">
        <v>1.0016270025399245</v>
      </c>
      <c r="J321" s="4">
        <v>22869921</v>
      </c>
      <c r="K321" s="4">
        <v>22894640</v>
      </c>
      <c r="L321" s="11">
        <v>6.7221330038767138E-2</v>
      </c>
      <c r="M321" s="6">
        <v>24719</v>
      </c>
      <c r="N321" s="11">
        <v>1.0010808520064411</v>
      </c>
      <c r="O321" s="18">
        <v>22869920.629999999</v>
      </c>
      <c r="P321" s="11">
        <v>1.0010808682023835</v>
      </c>
    </row>
    <row r="322" spans="1:16" x14ac:dyDescent="0.3">
      <c r="A322" s="10" t="s">
        <v>282</v>
      </c>
      <c r="B322" s="3" t="s">
        <v>957</v>
      </c>
      <c r="C322" s="4">
        <v>17943537</v>
      </c>
      <c r="D322" s="4">
        <v>18823513.335937221</v>
      </c>
      <c r="E322" s="6">
        <v>879976.3359372206</v>
      </c>
      <c r="F322" s="11">
        <v>1.0490414089450268</v>
      </c>
      <c r="G322" s="18">
        <v>16893468.743349999</v>
      </c>
      <c r="H322" s="11">
        <v>1.1142479748776859</v>
      </c>
      <c r="J322" s="4">
        <v>18278572</v>
      </c>
      <c r="K322" s="4">
        <v>19363614.918038242</v>
      </c>
      <c r="L322" s="11">
        <v>2.8692921053684338E-2</v>
      </c>
      <c r="M322" s="6">
        <v>1085042.9180382416</v>
      </c>
      <c r="N322" s="11">
        <v>1.0593614707997014</v>
      </c>
      <c r="O322" s="18">
        <v>17544445.759440001</v>
      </c>
      <c r="P322" s="11">
        <v>1.1036891779621716</v>
      </c>
    </row>
    <row r="323" spans="1:16" x14ac:dyDescent="0.3">
      <c r="A323" s="10" t="s">
        <v>283</v>
      </c>
      <c r="B323" s="3" t="s">
        <v>958</v>
      </c>
      <c r="C323" s="4">
        <v>13605305.000000227</v>
      </c>
      <c r="D323" s="4">
        <v>15493856.961704347</v>
      </c>
      <c r="E323" s="6">
        <v>1888551.96170412</v>
      </c>
      <c r="F323" s="11">
        <v>1.1388099687367603</v>
      </c>
      <c r="G323" s="18">
        <v>13571524.320135718</v>
      </c>
      <c r="H323" s="11">
        <v>1.1416445637367731</v>
      </c>
      <c r="J323" s="4">
        <v>15047376</v>
      </c>
      <c r="K323" s="4">
        <v>16148895.81455468</v>
      </c>
      <c r="L323" s="11">
        <v>4.2277326715315026E-2</v>
      </c>
      <c r="M323" s="6">
        <v>1101519.8145546801</v>
      </c>
      <c r="N323" s="11">
        <v>1.0732034485318025</v>
      </c>
      <c r="O323" s="18">
        <v>15047376.250150472</v>
      </c>
      <c r="P323" s="11">
        <v>1.0732034306906624</v>
      </c>
    </row>
    <row r="324" spans="1:16" x14ac:dyDescent="0.3">
      <c r="A324" s="10" t="s">
        <v>284</v>
      </c>
      <c r="B324" s="3" t="s">
        <v>959</v>
      </c>
      <c r="C324" s="4">
        <v>22987984</v>
      </c>
      <c r="D324" s="4">
        <v>23125698</v>
      </c>
      <c r="E324" s="6">
        <v>137714</v>
      </c>
      <c r="F324" s="11">
        <v>1.005990694964813</v>
      </c>
      <c r="G324" s="18">
        <v>22987502.880689632</v>
      </c>
      <c r="H324" s="11">
        <v>1.0060117499507291</v>
      </c>
      <c r="J324" s="4">
        <v>24944834</v>
      </c>
      <c r="K324" s="4">
        <v>25737881</v>
      </c>
      <c r="L324" s="11">
        <v>0.11295585542974747</v>
      </c>
      <c r="M324" s="6">
        <v>793047</v>
      </c>
      <c r="N324" s="11">
        <v>1.0317920335729633</v>
      </c>
      <c r="O324" s="18">
        <v>24944833.849999998</v>
      </c>
      <c r="P324" s="11">
        <v>1.0317920397774067</v>
      </c>
    </row>
    <row r="325" spans="1:16" x14ac:dyDescent="0.3">
      <c r="A325" s="10" t="s">
        <v>285</v>
      </c>
      <c r="B325" s="3" t="s">
        <v>960</v>
      </c>
      <c r="C325" s="4">
        <v>6948278.9600000009</v>
      </c>
      <c r="D325" s="4">
        <v>7465439.9200000009</v>
      </c>
      <c r="E325" s="6">
        <v>517160.95999999996</v>
      </c>
      <c r="F325" s="11">
        <v>1.0744300801647721</v>
      </c>
      <c r="G325" s="18">
        <v>6769003.2801353801</v>
      </c>
      <c r="H325" s="11">
        <v>1.1028861430616255</v>
      </c>
      <c r="J325" s="4">
        <v>8260047</v>
      </c>
      <c r="K325" s="4">
        <v>9951403.9800000004</v>
      </c>
      <c r="L325" s="11">
        <v>0.33299632528554318</v>
      </c>
      <c r="M325" s="6">
        <v>1691356.9800000004</v>
      </c>
      <c r="N325" s="11">
        <v>1.2047636024347077</v>
      </c>
      <c r="O325" s="18">
        <v>8260047.1499999994</v>
      </c>
      <c r="P325" s="11">
        <v>1.2047635805565591</v>
      </c>
    </row>
    <row r="326" spans="1:16" x14ac:dyDescent="0.3">
      <c r="A326" s="10" t="s">
        <v>286</v>
      </c>
      <c r="B326" s="3" t="s">
        <v>961</v>
      </c>
      <c r="C326" s="4">
        <v>5299126</v>
      </c>
      <c r="D326" s="4">
        <v>5639063.9000000004</v>
      </c>
      <c r="E326" s="6">
        <v>339937.90000000037</v>
      </c>
      <c r="F326" s="11">
        <v>1.0641498050810645</v>
      </c>
      <c r="G326" s="18">
        <v>5268916.5291999988</v>
      </c>
      <c r="H326" s="11">
        <v>1.0702511358357394</v>
      </c>
      <c r="J326" s="4">
        <v>5528619</v>
      </c>
      <c r="K326" s="4">
        <v>5832000.6499999985</v>
      </c>
      <c r="L326" s="11">
        <v>3.4214322345238565E-2</v>
      </c>
      <c r="M326" s="6">
        <v>303381.64999999851</v>
      </c>
      <c r="N326" s="11">
        <v>1.0548747616719472</v>
      </c>
      <c r="O326" s="18">
        <v>5528618.7214800008</v>
      </c>
      <c r="P326" s="11">
        <v>1.0548748148142839</v>
      </c>
    </row>
    <row r="327" spans="1:16" x14ac:dyDescent="0.3">
      <c r="B327" s="5" t="s">
        <v>1031</v>
      </c>
      <c r="C327" s="79">
        <f>SUM(C9:C326)</f>
        <v>12313367238.889959</v>
      </c>
      <c r="D327" s="79">
        <f>SUM(D9:D326)</f>
        <v>15706664336.981392</v>
      </c>
      <c r="E327" s="79">
        <f>SUM(E9:E326)</f>
        <v>3393297098.0914388</v>
      </c>
      <c r="F327" s="80">
        <f t="shared" ref="F327" si="0">D327/C327</f>
        <v>1.275578323317947</v>
      </c>
      <c r="G327" s="79">
        <f>SUM(G9:G326)</f>
        <v>11888963436.689638</v>
      </c>
      <c r="H327" s="80">
        <f t="shared" ref="H327" si="1">D327/G327</f>
        <v>1.3211130154972328</v>
      </c>
      <c r="I327" s="5"/>
      <c r="J327" s="79">
        <f t="shared" ref="J327:O327" si="2">SUM(J9:J326)</f>
        <v>13142162938.007475</v>
      </c>
      <c r="K327" s="79">
        <f t="shared" si="2"/>
        <v>16684583074.724209</v>
      </c>
      <c r="L327" s="80">
        <f t="shared" ref="L327" si="3">(K327-D327)/D327</f>
        <v>6.2261388972342402E-2</v>
      </c>
      <c r="M327" s="79">
        <f t="shared" si="2"/>
        <v>3542420136.716733</v>
      </c>
      <c r="N327" s="80">
        <f t="shared" ref="N327" si="4">K327/J327</f>
        <v>1.2695462043368799</v>
      </c>
      <c r="O327" s="79">
        <f t="shared" si="2"/>
        <v>12851274840.729765</v>
      </c>
      <c r="P327" s="80">
        <f t="shared" ref="P327" si="5">K327/O327</f>
        <v>1.2982823324146391</v>
      </c>
    </row>
    <row r="328" spans="1:16" x14ac:dyDescent="0.3">
      <c r="G328" s="18"/>
    </row>
  </sheetData>
  <mergeCells count="2">
    <mergeCell ref="C7:H7"/>
    <mergeCell ref="J7:P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filterMode="1"/>
  <dimension ref="A1:C138"/>
  <sheetViews>
    <sheetView workbookViewId="0">
      <selection activeCell="B30" sqref="B30"/>
    </sheetView>
  </sheetViews>
  <sheetFormatPr defaultRowHeight="14.5" x14ac:dyDescent="0.35"/>
  <cols>
    <col min="1" max="1" width="9" bestFit="1" customWidth="1"/>
    <col min="2" max="2" width="44.54296875" bestFit="1" customWidth="1"/>
    <col min="3" max="3" width="9.453125" bestFit="1" customWidth="1"/>
  </cols>
  <sheetData>
    <row r="1" spans="1:3" x14ac:dyDescent="0.35">
      <c r="A1" s="1" t="s">
        <v>288</v>
      </c>
      <c r="B1" s="1" t="s">
        <v>289</v>
      </c>
      <c r="C1" s="1" t="s">
        <v>494</v>
      </c>
    </row>
    <row r="2" spans="1:3" hidden="1" x14ac:dyDescent="0.35">
      <c r="A2" s="2" t="s">
        <v>495</v>
      </c>
      <c r="B2" s="2" t="s">
        <v>496</v>
      </c>
      <c r="C2" s="2" t="s">
        <v>287</v>
      </c>
    </row>
    <row r="3" spans="1:3" x14ac:dyDescent="0.35">
      <c r="A3" s="2" t="s">
        <v>379</v>
      </c>
      <c r="B3" s="2" t="s">
        <v>380</v>
      </c>
      <c r="C3" s="2" t="s">
        <v>497</v>
      </c>
    </row>
    <row r="4" spans="1:3" x14ac:dyDescent="0.35">
      <c r="A4" s="2" t="s">
        <v>290</v>
      </c>
      <c r="B4" s="2" t="s">
        <v>291</v>
      </c>
      <c r="C4" s="2" t="s">
        <v>497</v>
      </c>
    </row>
    <row r="5" spans="1:3" x14ac:dyDescent="0.35">
      <c r="A5" s="2" t="s">
        <v>391</v>
      </c>
      <c r="B5" s="2" t="s">
        <v>392</v>
      </c>
      <c r="C5" s="2" t="s">
        <v>497</v>
      </c>
    </row>
    <row r="6" spans="1:3" x14ac:dyDescent="0.35">
      <c r="A6" s="2" t="s">
        <v>411</v>
      </c>
      <c r="B6" s="2" t="s">
        <v>412</v>
      </c>
      <c r="C6" s="2" t="s">
        <v>497</v>
      </c>
    </row>
    <row r="7" spans="1:3" hidden="1" x14ac:dyDescent="0.35">
      <c r="A7" s="2" t="s">
        <v>498</v>
      </c>
      <c r="B7" s="2" t="s">
        <v>499</v>
      </c>
      <c r="C7" s="2" t="s">
        <v>287</v>
      </c>
    </row>
    <row r="8" spans="1:3" x14ac:dyDescent="0.35">
      <c r="A8" s="2" t="s">
        <v>292</v>
      </c>
      <c r="B8" s="2" t="s">
        <v>293</v>
      </c>
      <c r="C8" s="2" t="s">
        <v>497</v>
      </c>
    </row>
    <row r="9" spans="1:3" x14ac:dyDescent="0.35">
      <c r="A9" s="2" t="s">
        <v>294</v>
      </c>
      <c r="B9" s="2" t="s">
        <v>295</v>
      </c>
      <c r="C9" s="2" t="s">
        <v>497</v>
      </c>
    </row>
    <row r="10" spans="1:3" x14ac:dyDescent="0.35">
      <c r="A10" s="2" t="s">
        <v>296</v>
      </c>
      <c r="B10" s="2" t="s">
        <v>297</v>
      </c>
      <c r="C10" s="2" t="s">
        <v>497</v>
      </c>
    </row>
    <row r="11" spans="1:3" x14ac:dyDescent="0.35">
      <c r="A11" s="2" t="s">
        <v>421</v>
      </c>
      <c r="B11" s="2" t="s">
        <v>422</v>
      </c>
      <c r="C11" s="2" t="s">
        <v>497</v>
      </c>
    </row>
    <row r="12" spans="1:3" x14ac:dyDescent="0.35">
      <c r="A12" s="2" t="s">
        <v>298</v>
      </c>
      <c r="B12" s="2" t="s">
        <v>299</v>
      </c>
      <c r="C12" s="2" t="s">
        <v>497</v>
      </c>
    </row>
    <row r="13" spans="1:3" hidden="1" x14ac:dyDescent="0.35">
      <c r="A13" s="2" t="s">
        <v>500</v>
      </c>
      <c r="B13" s="2" t="s">
        <v>501</v>
      </c>
      <c r="C13" s="2" t="s">
        <v>287</v>
      </c>
    </row>
    <row r="14" spans="1:3" hidden="1" x14ac:dyDescent="0.35">
      <c r="A14" s="2" t="s">
        <v>502</v>
      </c>
      <c r="B14" s="2" t="s">
        <v>503</v>
      </c>
      <c r="C14" s="2" t="s">
        <v>287</v>
      </c>
    </row>
    <row r="15" spans="1:3" x14ac:dyDescent="0.35">
      <c r="A15" s="2" t="s">
        <v>300</v>
      </c>
      <c r="B15" s="2" t="s">
        <v>301</v>
      </c>
      <c r="C15" s="2" t="s">
        <v>504</v>
      </c>
    </row>
    <row r="16" spans="1:3" x14ac:dyDescent="0.35">
      <c r="A16" s="2" t="s">
        <v>393</v>
      </c>
      <c r="B16" s="2" t="s">
        <v>394</v>
      </c>
      <c r="C16" s="2" t="s">
        <v>504</v>
      </c>
    </row>
    <row r="17" spans="1:3" hidden="1" x14ac:dyDescent="0.35">
      <c r="A17" s="2" t="s">
        <v>505</v>
      </c>
      <c r="B17" s="2" t="s">
        <v>506</v>
      </c>
      <c r="C17" s="2" t="s">
        <v>287</v>
      </c>
    </row>
    <row r="18" spans="1:3" x14ac:dyDescent="0.35">
      <c r="A18" s="2" t="s">
        <v>302</v>
      </c>
      <c r="B18" s="2" t="s">
        <v>303</v>
      </c>
      <c r="C18" s="2" t="s">
        <v>504</v>
      </c>
    </row>
    <row r="19" spans="1:3" x14ac:dyDescent="0.35">
      <c r="A19" s="2" t="s">
        <v>395</v>
      </c>
      <c r="B19" s="2" t="s">
        <v>396</v>
      </c>
      <c r="C19" s="2" t="s">
        <v>504</v>
      </c>
    </row>
    <row r="20" spans="1:3" x14ac:dyDescent="0.35">
      <c r="A20" s="2" t="s">
        <v>304</v>
      </c>
      <c r="B20" s="2" t="s">
        <v>305</v>
      </c>
      <c r="C20" s="2" t="s">
        <v>504</v>
      </c>
    </row>
    <row r="21" spans="1:3" hidden="1" x14ac:dyDescent="0.35">
      <c r="A21" s="2" t="s">
        <v>507</v>
      </c>
      <c r="B21" s="2" t="s">
        <v>508</v>
      </c>
      <c r="C21" s="2" t="s">
        <v>287</v>
      </c>
    </row>
    <row r="22" spans="1:3" x14ac:dyDescent="0.35">
      <c r="A22" s="2" t="s">
        <v>306</v>
      </c>
      <c r="B22" s="2" t="s">
        <v>307</v>
      </c>
      <c r="C22" s="2" t="s">
        <v>509</v>
      </c>
    </row>
    <row r="23" spans="1:3" x14ac:dyDescent="0.35">
      <c r="A23" s="2" t="s">
        <v>308</v>
      </c>
      <c r="B23" s="2" t="s">
        <v>309</v>
      </c>
      <c r="C23" s="2" t="s">
        <v>509</v>
      </c>
    </row>
    <row r="24" spans="1:3" x14ac:dyDescent="0.35">
      <c r="A24" s="2" t="s">
        <v>381</v>
      </c>
      <c r="B24" s="2" t="s">
        <v>382</v>
      </c>
      <c r="C24" s="2" t="s">
        <v>504</v>
      </c>
    </row>
    <row r="25" spans="1:3" x14ac:dyDescent="0.35">
      <c r="A25" s="2" t="s">
        <v>310</v>
      </c>
      <c r="B25" s="2" t="s">
        <v>311</v>
      </c>
      <c r="C25" s="2" t="s">
        <v>510</v>
      </c>
    </row>
    <row r="26" spans="1:3" x14ac:dyDescent="0.35">
      <c r="A26" s="2" t="s">
        <v>312</v>
      </c>
      <c r="B26" s="2" t="s">
        <v>313</v>
      </c>
      <c r="C26" s="2" t="s">
        <v>510</v>
      </c>
    </row>
    <row r="27" spans="1:3" x14ac:dyDescent="0.35">
      <c r="A27" s="2" t="s">
        <v>314</v>
      </c>
      <c r="B27" s="2" t="s">
        <v>315</v>
      </c>
      <c r="C27" s="2" t="s">
        <v>510</v>
      </c>
    </row>
    <row r="28" spans="1:3" x14ac:dyDescent="0.35">
      <c r="A28" s="2" t="s">
        <v>316</v>
      </c>
      <c r="B28" s="2" t="s">
        <v>317</v>
      </c>
      <c r="C28" s="2" t="s">
        <v>510</v>
      </c>
    </row>
    <row r="29" spans="1:3" hidden="1" x14ac:dyDescent="0.35">
      <c r="A29" s="2" t="s">
        <v>511</v>
      </c>
      <c r="B29" s="2" t="s">
        <v>512</v>
      </c>
      <c r="C29" s="2" t="s">
        <v>287</v>
      </c>
    </row>
    <row r="30" spans="1:3" x14ac:dyDescent="0.35">
      <c r="A30" s="2" t="s">
        <v>318</v>
      </c>
      <c r="B30" s="2" t="s">
        <v>319</v>
      </c>
      <c r="C30" s="2" t="s">
        <v>513</v>
      </c>
    </row>
    <row r="31" spans="1:3" x14ac:dyDescent="0.35">
      <c r="A31" s="2" t="s">
        <v>320</v>
      </c>
      <c r="B31" s="2" t="s">
        <v>321</v>
      </c>
      <c r="C31" s="2" t="s">
        <v>513</v>
      </c>
    </row>
    <row r="32" spans="1:3" x14ac:dyDescent="0.35">
      <c r="A32" s="2" t="s">
        <v>397</v>
      </c>
      <c r="B32" s="2" t="s">
        <v>398</v>
      </c>
      <c r="C32" s="2" t="s">
        <v>513</v>
      </c>
    </row>
    <row r="33" spans="1:3" x14ac:dyDescent="0.35">
      <c r="A33" s="2" t="s">
        <v>322</v>
      </c>
      <c r="B33" s="2" t="s">
        <v>323</v>
      </c>
      <c r="C33" s="2" t="s">
        <v>513</v>
      </c>
    </row>
    <row r="34" spans="1:3" hidden="1" x14ac:dyDescent="0.35">
      <c r="A34" s="2" t="s">
        <v>514</v>
      </c>
      <c r="B34" s="2" t="s">
        <v>515</v>
      </c>
      <c r="C34" s="2" t="s">
        <v>287</v>
      </c>
    </row>
    <row r="35" spans="1:3" x14ac:dyDescent="0.35">
      <c r="A35" s="2" t="s">
        <v>324</v>
      </c>
      <c r="B35" s="2" t="s">
        <v>325</v>
      </c>
      <c r="C35" s="2" t="s">
        <v>516</v>
      </c>
    </row>
    <row r="36" spans="1:3" x14ac:dyDescent="0.35">
      <c r="A36" s="2" t="s">
        <v>326</v>
      </c>
      <c r="B36" s="2" t="s">
        <v>327</v>
      </c>
      <c r="C36" s="2" t="s">
        <v>516</v>
      </c>
    </row>
    <row r="37" spans="1:3" x14ac:dyDescent="0.35">
      <c r="A37" s="2" t="s">
        <v>328</v>
      </c>
      <c r="B37" s="2" t="s">
        <v>329</v>
      </c>
      <c r="C37" s="2" t="s">
        <v>516</v>
      </c>
    </row>
    <row r="38" spans="1:3" x14ac:dyDescent="0.35">
      <c r="A38" s="2" t="s">
        <v>330</v>
      </c>
      <c r="B38" s="2" t="s">
        <v>331</v>
      </c>
      <c r="C38" s="2" t="s">
        <v>516</v>
      </c>
    </row>
    <row r="39" spans="1:3" x14ac:dyDescent="0.35">
      <c r="A39" s="2" t="s">
        <v>332</v>
      </c>
      <c r="B39" s="2" t="s">
        <v>333</v>
      </c>
      <c r="C39" s="2" t="s">
        <v>516</v>
      </c>
    </row>
    <row r="40" spans="1:3" hidden="1" x14ac:dyDescent="0.35">
      <c r="A40" s="2" t="s">
        <v>517</v>
      </c>
      <c r="B40" s="2" t="s">
        <v>518</v>
      </c>
      <c r="C40" s="2" t="s">
        <v>287</v>
      </c>
    </row>
    <row r="41" spans="1:3" x14ac:dyDescent="0.35">
      <c r="A41" s="2" t="s">
        <v>334</v>
      </c>
      <c r="B41" s="2" t="s">
        <v>335</v>
      </c>
      <c r="C41" s="2" t="s">
        <v>516</v>
      </c>
    </row>
    <row r="42" spans="1:3" x14ac:dyDescent="0.35">
      <c r="A42" s="2" t="s">
        <v>336</v>
      </c>
      <c r="B42" s="2" t="s">
        <v>337</v>
      </c>
      <c r="C42" s="2" t="s">
        <v>516</v>
      </c>
    </row>
    <row r="43" spans="1:3" x14ac:dyDescent="0.35">
      <c r="A43" s="2" t="s">
        <v>338</v>
      </c>
      <c r="B43" s="2" t="s">
        <v>339</v>
      </c>
      <c r="C43" s="2" t="s">
        <v>516</v>
      </c>
    </row>
    <row r="44" spans="1:3" hidden="1" x14ac:dyDescent="0.35">
      <c r="A44" s="2" t="s">
        <v>519</v>
      </c>
      <c r="B44" s="2" t="s">
        <v>520</v>
      </c>
      <c r="C44" s="2" t="s">
        <v>287</v>
      </c>
    </row>
    <row r="45" spans="1:3" x14ac:dyDescent="0.35">
      <c r="A45" s="2" t="s">
        <v>340</v>
      </c>
      <c r="B45" s="2" t="s">
        <v>341</v>
      </c>
      <c r="C45" s="2" t="s">
        <v>521</v>
      </c>
    </row>
    <row r="46" spans="1:3" x14ac:dyDescent="0.35">
      <c r="A46" s="2" t="s">
        <v>342</v>
      </c>
      <c r="B46" s="2" t="s">
        <v>343</v>
      </c>
      <c r="C46" s="2" t="s">
        <v>521</v>
      </c>
    </row>
    <row r="47" spans="1:3" x14ac:dyDescent="0.35">
      <c r="A47" s="2" t="s">
        <v>344</v>
      </c>
      <c r="B47" s="2" t="s">
        <v>345</v>
      </c>
      <c r="C47" s="2" t="s">
        <v>521</v>
      </c>
    </row>
    <row r="48" spans="1:3" hidden="1" x14ac:dyDescent="0.35">
      <c r="A48" s="2" t="s">
        <v>522</v>
      </c>
      <c r="B48" s="2" t="s">
        <v>523</v>
      </c>
      <c r="C48" s="2" t="s">
        <v>287</v>
      </c>
    </row>
    <row r="49" spans="1:3" x14ac:dyDescent="0.35">
      <c r="A49" s="2" t="s">
        <v>383</v>
      </c>
      <c r="B49" s="2" t="s">
        <v>384</v>
      </c>
      <c r="C49" s="2" t="s">
        <v>524</v>
      </c>
    </row>
    <row r="50" spans="1:3" hidden="1" x14ac:dyDescent="0.35">
      <c r="A50" s="2" t="s">
        <v>525</v>
      </c>
      <c r="B50" s="2" t="s">
        <v>526</v>
      </c>
      <c r="C50" s="2" t="s">
        <v>287</v>
      </c>
    </row>
    <row r="51" spans="1:3" x14ac:dyDescent="0.35">
      <c r="A51" s="2" t="s">
        <v>346</v>
      </c>
      <c r="B51" s="2" t="s">
        <v>347</v>
      </c>
      <c r="C51" s="2" t="s">
        <v>524</v>
      </c>
    </row>
    <row r="52" spans="1:3" x14ac:dyDescent="0.35">
      <c r="A52" s="2" t="s">
        <v>348</v>
      </c>
      <c r="B52" s="2" t="s">
        <v>349</v>
      </c>
      <c r="C52" s="2" t="s">
        <v>524</v>
      </c>
    </row>
    <row r="53" spans="1:3" hidden="1" x14ac:dyDescent="0.35">
      <c r="A53" s="2" t="s">
        <v>527</v>
      </c>
      <c r="B53" s="2" t="s">
        <v>528</v>
      </c>
      <c r="C53" s="2" t="s">
        <v>287</v>
      </c>
    </row>
    <row r="54" spans="1:3" x14ac:dyDescent="0.35">
      <c r="A54" s="2" t="s">
        <v>350</v>
      </c>
      <c r="B54" s="2" t="s">
        <v>351</v>
      </c>
      <c r="C54" s="2" t="s">
        <v>524</v>
      </c>
    </row>
    <row r="55" spans="1:3" x14ac:dyDescent="0.35">
      <c r="A55" s="2" t="s">
        <v>352</v>
      </c>
      <c r="B55" s="2" t="s">
        <v>353</v>
      </c>
      <c r="C55" s="2" t="s">
        <v>524</v>
      </c>
    </row>
    <row r="56" spans="1:3" hidden="1" x14ac:dyDescent="0.35">
      <c r="A56" s="2" t="s">
        <v>529</v>
      </c>
      <c r="B56" s="2" t="s">
        <v>530</v>
      </c>
      <c r="C56" s="2" t="s">
        <v>287</v>
      </c>
    </row>
    <row r="57" spans="1:3" x14ac:dyDescent="0.35">
      <c r="A57" s="2" t="s">
        <v>354</v>
      </c>
      <c r="B57" s="2" t="s">
        <v>355</v>
      </c>
      <c r="C57" s="2" t="s">
        <v>524</v>
      </c>
    </row>
    <row r="58" spans="1:3" x14ac:dyDescent="0.35">
      <c r="A58" s="2" t="s">
        <v>356</v>
      </c>
      <c r="B58" s="2" t="s">
        <v>357</v>
      </c>
      <c r="C58" s="2" t="s">
        <v>524</v>
      </c>
    </row>
    <row r="59" spans="1:3" hidden="1" x14ac:dyDescent="0.35">
      <c r="A59" s="2" t="s">
        <v>531</v>
      </c>
      <c r="B59" s="2" t="s">
        <v>532</v>
      </c>
      <c r="C59" s="2" t="s">
        <v>287</v>
      </c>
    </row>
    <row r="60" spans="1:3" x14ac:dyDescent="0.35">
      <c r="A60" s="2" t="s">
        <v>358</v>
      </c>
      <c r="B60" s="2" t="s">
        <v>359</v>
      </c>
      <c r="C60" s="2" t="s">
        <v>533</v>
      </c>
    </row>
    <row r="61" spans="1:3" x14ac:dyDescent="0.35">
      <c r="A61" s="2" t="s">
        <v>360</v>
      </c>
      <c r="B61" s="2" t="s">
        <v>361</v>
      </c>
      <c r="C61" s="2" t="s">
        <v>533</v>
      </c>
    </row>
    <row r="62" spans="1:3" x14ac:dyDescent="0.35">
      <c r="A62" s="2" t="s">
        <v>362</v>
      </c>
      <c r="B62" s="2" t="s">
        <v>363</v>
      </c>
      <c r="C62" s="2" t="s">
        <v>533</v>
      </c>
    </row>
    <row r="63" spans="1:3" hidden="1" x14ac:dyDescent="0.35">
      <c r="A63" s="2" t="s">
        <v>534</v>
      </c>
      <c r="B63" s="2" t="s">
        <v>535</v>
      </c>
      <c r="C63" s="2" t="s">
        <v>287</v>
      </c>
    </row>
    <row r="64" spans="1:3" x14ac:dyDescent="0.35">
      <c r="A64" s="2" t="s">
        <v>405</v>
      </c>
      <c r="B64" s="2" t="s">
        <v>406</v>
      </c>
      <c r="C64" s="2" t="s">
        <v>533</v>
      </c>
    </row>
    <row r="65" spans="1:3" x14ac:dyDescent="0.35">
      <c r="A65" s="2" t="s">
        <v>364</v>
      </c>
      <c r="B65" s="2" t="s">
        <v>365</v>
      </c>
      <c r="C65" s="2" t="s">
        <v>533</v>
      </c>
    </row>
    <row r="66" spans="1:3" x14ac:dyDescent="0.35">
      <c r="A66" s="2" t="s">
        <v>385</v>
      </c>
      <c r="B66" s="2" t="s">
        <v>386</v>
      </c>
      <c r="C66" s="2" t="s">
        <v>533</v>
      </c>
    </row>
    <row r="67" spans="1:3" x14ac:dyDescent="0.35">
      <c r="A67" s="2" t="s">
        <v>387</v>
      </c>
      <c r="B67" s="2" t="s">
        <v>388</v>
      </c>
      <c r="C67" s="2" t="s">
        <v>533</v>
      </c>
    </row>
    <row r="68" spans="1:3" x14ac:dyDescent="0.35">
      <c r="A68" s="2" t="s">
        <v>413</v>
      </c>
      <c r="B68" s="2" t="s">
        <v>414</v>
      </c>
      <c r="C68" s="2" t="s">
        <v>533</v>
      </c>
    </row>
    <row r="69" spans="1:3" x14ac:dyDescent="0.35">
      <c r="A69" s="2" t="s">
        <v>366</v>
      </c>
      <c r="B69" s="2" t="s">
        <v>367</v>
      </c>
      <c r="C69" s="2" t="s">
        <v>533</v>
      </c>
    </row>
    <row r="70" spans="1:3" x14ac:dyDescent="0.35">
      <c r="A70" s="2" t="s">
        <v>399</v>
      </c>
      <c r="B70" s="2" t="s">
        <v>400</v>
      </c>
      <c r="C70" s="2" t="s">
        <v>533</v>
      </c>
    </row>
    <row r="71" spans="1:3" hidden="1" x14ac:dyDescent="0.35">
      <c r="A71" s="2" t="s">
        <v>536</v>
      </c>
      <c r="B71" s="2" t="s">
        <v>537</v>
      </c>
      <c r="C71" s="2" t="s">
        <v>287</v>
      </c>
    </row>
    <row r="72" spans="1:3" x14ac:dyDescent="0.35">
      <c r="A72" s="2" t="s">
        <v>407</v>
      </c>
      <c r="B72" s="2" t="s">
        <v>408</v>
      </c>
      <c r="C72" s="2" t="s">
        <v>538</v>
      </c>
    </row>
    <row r="73" spans="1:3" x14ac:dyDescent="0.35">
      <c r="A73" s="2" t="s">
        <v>368</v>
      </c>
      <c r="B73" s="2" t="s">
        <v>369</v>
      </c>
      <c r="C73" s="2" t="s">
        <v>538</v>
      </c>
    </row>
    <row r="74" spans="1:3" x14ac:dyDescent="0.35">
      <c r="A74" s="2" t="s">
        <v>401</v>
      </c>
      <c r="B74" s="2" t="s">
        <v>402</v>
      </c>
      <c r="C74" s="2" t="s">
        <v>538</v>
      </c>
    </row>
    <row r="75" spans="1:3" x14ac:dyDescent="0.35">
      <c r="A75" s="2" t="s">
        <v>415</v>
      </c>
      <c r="B75" s="2" t="s">
        <v>416</v>
      </c>
      <c r="C75" s="2" t="s">
        <v>538</v>
      </c>
    </row>
    <row r="76" spans="1:3" x14ac:dyDescent="0.35">
      <c r="A76" s="2" t="s">
        <v>417</v>
      </c>
      <c r="B76" s="2" t="s">
        <v>418</v>
      </c>
      <c r="C76" s="2" t="s">
        <v>538</v>
      </c>
    </row>
    <row r="77" spans="1:3" x14ac:dyDescent="0.35">
      <c r="A77" s="2" t="s">
        <v>423</v>
      </c>
      <c r="B77" s="2" t="s">
        <v>424</v>
      </c>
      <c r="C77" s="2" t="s">
        <v>538</v>
      </c>
    </row>
    <row r="78" spans="1:3" x14ac:dyDescent="0.35">
      <c r="A78" s="2" t="s">
        <v>403</v>
      </c>
      <c r="B78" s="2" t="s">
        <v>404</v>
      </c>
      <c r="C78" s="2" t="s">
        <v>538</v>
      </c>
    </row>
    <row r="79" spans="1:3" x14ac:dyDescent="0.35">
      <c r="A79" s="2" t="s">
        <v>458</v>
      </c>
      <c r="B79" s="2" t="s">
        <v>459</v>
      </c>
      <c r="C79" s="2" t="s">
        <v>538</v>
      </c>
    </row>
    <row r="80" spans="1:3" x14ac:dyDescent="0.35">
      <c r="A80" s="2" t="s">
        <v>447</v>
      </c>
      <c r="B80" s="2" t="s">
        <v>448</v>
      </c>
      <c r="C80" s="2" t="s">
        <v>539</v>
      </c>
    </row>
    <row r="81" spans="1:3" x14ac:dyDescent="0.35">
      <c r="A81" s="2" t="s">
        <v>419</v>
      </c>
      <c r="B81" s="2" t="s">
        <v>420</v>
      </c>
      <c r="C81" s="2" t="s">
        <v>538</v>
      </c>
    </row>
    <row r="82" spans="1:3" x14ac:dyDescent="0.35">
      <c r="A82" s="2" t="s">
        <v>370</v>
      </c>
      <c r="B82" s="2" t="s">
        <v>371</v>
      </c>
      <c r="C82" s="2" t="s">
        <v>538</v>
      </c>
    </row>
    <row r="83" spans="1:3" x14ac:dyDescent="0.35">
      <c r="A83" s="2" t="s">
        <v>540</v>
      </c>
      <c r="B83" s="2" t="s">
        <v>541</v>
      </c>
      <c r="C83" s="2" t="s">
        <v>542</v>
      </c>
    </row>
    <row r="84" spans="1:3" hidden="1" x14ac:dyDescent="0.35">
      <c r="A84" s="2" t="s">
        <v>543</v>
      </c>
      <c r="B84" s="2" t="s">
        <v>544</v>
      </c>
      <c r="C84" s="2" t="s">
        <v>287</v>
      </c>
    </row>
    <row r="85" spans="1:3" x14ac:dyDescent="0.35">
      <c r="A85" s="2" t="s">
        <v>545</v>
      </c>
      <c r="B85" s="2" t="s">
        <v>546</v>
      </c>
      <c r="C85" s="2" t="s">
        <v>547</v>
      </c>
    </row>
    <row r="86" spans="1:3" x14ac:dyDescent="0.35">
      <c r="A86" s="2" t="s">
        <v>548</v>
      </c>
      <c r="B86" s="2" t="s">
        <v>549</v>
      </c>
      <c r="C86" s="2" t="s">
        <v>547</v>
      </c>
    </row>
    <row r="87" spans="1:3" x14ac:dyDescent="0.35">
      <c r="A87" s="2" t="s">
        <v>550</v>
      </c>
      <c r="B87" s="2" t="s">
        <v>551</v>
      </c>
      <c r="C87" s="2" t="s">
        <v>547</v>
      </c>
    </row>
    <row r="88" spans="1:3" x14ac:dyDescent="0.35">
      <c r="A88" s="2" t="s">
        <v>552</v>
      </c>
      <c r="B88" s="2" t="s">
        <v>553</v>
      </c>
      <c r="C88" s="2" t="s">
        <v>547</v>
      </c>
    </row>
    <row r="89" spans="1:3" x14ac:dyDescent="0.35">
      <c r="A89" s="2" t="s">
        <v>554</v>
      </c>
      <c r="B89" s="2" t="s">
        <v>555</v>
      </c>
      <c r="C89" s="2" t="s">
        <v>547</v>
      </c>
    </row>
    <row r="90" spans="1:3" x14ac:dyDescent="0.35">
      <c r="A90" s="2" t="s">
        <v>556</v>
      </c>
      <c r="B90" s="2" t="s">
        <v>557</v>
      </c>
      <c r="C90" s="2" t="s">
        <v>547</v>
      </c>
    </row>
    <row r="91" spans="1:3" hidden="1" x14ac:dyDescent="0.35">
      <c r="A91" s="2" t="s">
        <v>558</v>
      </c>
      <c r="B91" s="2" t="s">
        <v>559</v>
      </c>
      <c r="C91" s="2" t="s">
        <v>287</v>
      </c>
    </row>
    <row r="92" spans="1:3" x14ac:dyDescent="0.35">
      <c r="A92" s="2" t="s">
        <v>560</v>
      </c>
      <c r="B92" s="2" t="s">
        <v>561</v>
      </c>
      <c r="C92" s="2" t="s">
        <v>562</v>
      </c>
    </row>
    <row r="93" spans="1:3" x14ac:dyDescent="0.35">
      <c r="A93" s="2" t="s">
        <v>563</v>
      </c>
      <c r="B93" s="2" t="s">
        <v>561</v>
      </c>
      <c r="C93" s="2" t="s">
        <v>562</v>
      </c>
    </row>
    <row r="94" spans="1:3" x14ac:dyDescent="0.35">
      <c r="A94" s="2" t="s">
        <v>564</v>
      </c>
      <c r="B94" s="2" t="s">
        <v>565</v>
      </c>
      <c r="C94" s="2" t="s">
        <v>562</v>
      </c>
    </row>
    <row r="95" spans="1:3" x14ac:dyDescent="0.35">
      <c r="A95" s="2" t="s">
        <v>566</v>
      </c>
      <c r="B95" s="2" t="s">
        <v>567</v>
      </c>
      <c r="C95" s="2" t="s">
        <v>562</v>
      </c>
    </row>
    <row r="96" spans="1:3" x14ac:dyDescent="0.35">
      <c r="A96" s="2" t="s">
        <v>568</v>
      </c>
      <c r="B96" s="2" t="s">
        <v>565</v>
      </c>
      <c r="C96" s="2" t="s">
        <v>562</v>
      </c>
    </row>
    <row r="97" spans="1:3" x14ac:dyDescent="0.35">
      <c r="A97" s="2" t="s">
        <v>569</v>
      </c>
      <c r="B97" s="2" t="s">
        <v>570</v>
      </c>
      <c r="C97" s="2" t="s">
        <v>562</v>
      </c>
    </row>
    <row r="98" spans="1:3" x14ac:dyDescent="0.35">
      <c r="A98" s="2" t="s">
        <v>571</v>
      </c>
      <c r="B98" s="2" t="s">
        <v>570</v>
      </c>
      <c r="C98" s="2" t="s">
        <v>562</v>
      </c>
    </row>
    <row r="99" spans="1:3" hidden="1" x14ac:dyDescent="0.35">
      <c r="A99" s="2" t="s">
        <v>572</v>
      </c>
      <c r="B99" s="2" t="s">
        <v>573</v>
      </c>
      <c r="C99" s="2" t="s">
        <v>287</v>
      </c>
    </row>
    <row r="100" spans="1:3" x14ac:dyDescent="0.35">
      <c r="A100" s="2" t="s">
        <v>574</v>
      </c>
      <c r="B100" s="2" t="s">
        <v>575</v>
      </c>
      <c r="C100" s="2" t="s">
        <v>539</v>
      </c>
    </row>
    <row r="101" spans="1:3" x14ac:dyDescent="0.35">
      <c r="A101" s="2" t="s">
        <v>576</v>
      </c>
      <c r="B101" s="2" t="s">
        <v>577</v>
      </c>
      <c r="C101" s="2" t="s">
        <v>539</v>
      </c>
    </row>
    <row r="102" spans="1:3" x14ac:dyDescent="0.35">
      <c r="A102" s="2" t="s">
        <v>578</v>
      </c>
      <c r="B102" s="2" t="s">
        <v>579</v>
      </c>
      <c r="C102" s="2" t="s">
        <v>539</v>
      </c>
    </row>
    <row r="103" spans="1:3" x14ac:dyDescent="0.35">
      <c r="A103" s="2" t="s">
        <v>580</v>
      </c>
      <c r="B103" s="2" t="s">
        <v>579</v>
      </c>
      <c r="C103" s="2" t="s">
        <v>539</v>
      </c>
    </row>
    <row r="104" spans="1:3" hidden="1" x14ac:dyDescent="0.35">
      <c r="A104" s="2" t="s">
        <v>581</v>
      </c>
      <c r="B104" s="2" t="s">
        <v>582</v>
      </c>
      <c r="C104" s="2" t="s">
        <v>287</v>
      </c>
    </row>
    <row r="105" spans="1:3" x14ac:dyDescent="0.35">
      <c r="A105" s="2" t="s">
        <v>372</v>
      </c>
      <c r="B105" s="2" t="s">
        <v>373</v>
      </c>
      <c r="C105" s="2" t="s">
        <v>583</v>
      </c>
    </row>
    <row r="106" spans="1:3" x14ac:dyDescent="0.35">
      <c r="A106" s="2" t="s">
        <v>450</v>
      </c>
      <c r="B106" s="2" t="s">
        <v>451</v>
      </c>
      <c r="C106" s="2" t="s">
        <v>583</v>
      </c>
    </row>
    <row r="107" spans="1:3" x14ac:dyDescent="0.35">
      <c r="A107" s="2" t="s">
        <v>452</v>
      </c>
      <c r="B107" s="2" t="s">
        <v>453</v>
      </c>
      <c r="C107" s="2" t="s">
        <v>583</v>
      </c>
    </row>
    <row r="108" spans="1:3" x14ac:dyDescent="0.35">
      <c r="A108" s="2" t="s">
        <v>409</v>
      </c>
      <c r="B108" s="2" t="s">
        <v>410</v>
      </c>
      <c r="C108" s="2" t="s">
        <v>583</v>
      </c>
    </row>
    <row r="109" spans="1:3" x14ac:dyDescent="0.35">
      <c r="A109" s="2" t="s">
        <v>389</v>
      </c>
      <c r="B109" s="2" t="s">
        <v>390</v>
      </c>
      <c r="C109" s="2" t="s">
        <v>583</v>
      </c>
    </row>
    <row r="110" spans="1:3" x14ac:dyDescent="0.35">
      <c r="A110" s="2" t="s">
        <v>374</v>
      </c>
      <c r="B110" s="2" t="s">
        <v>375</v>
      </c>
      <c r="C110" s="2" t="s">
        <v>583</v>
      </c>
    </row>
    <row r="111" spans="1:3" x14ac:dyDescent="0.35">
      <c r="A111" s="2" t="s">
        <v>376</v>
      </c>
      <c r="B111" s="2" t="s">
        <v>377</v>
      </c>
      <c r="C111" s="2" t="s">
        <v>583</v>
      </c>
    </row>
    <row r="112" spans="1:3" x14ac:dyDescent="0.35">
      <c r="A112" s="2" t="s">
        <v>584</v>
      </c>
      <c r="B112" s="2" t="s">
        <v>585</v>
      </c>
      <c r="C112" s="2" t="s">
        <v>586</v>
      </c>
    </row>
    <row r="113" spans="1:3" x14ac:dyDescent="0.35">
      <c r="A113" s="2" t="s">
        <v>587</v>
      </c>
      <c r="B113" s="2" t="s">
        <v>588</v>
      </c>
      <c r="C113" s="2" t="s">
        <v>589</v>
      </c>
    </row>
    <row r="114" spans="1:3" hidden="1" x14ac:dyDescent="0.35">
      <c r="A114" s="2" t="s">
        <v>590</v>
      </c>
      <c r="B114" s="2" t="s">
        <v>591</v>
      </c>
      <c r="C114" s="2" t="s">
        <v>287</v>
      </c>
    </row>
    <row r="115" spans="1:3" hidden="1" x14ac:dyDescent="0.35">
      <c r="A115" s="2" t="s">
        <v>592</v>
      </c>
      <c r="B115" s="2" t="s">
        <v>593</v>
      </c>
      <c r="C115" s="2" t="s">
        <v>287</v>
      </c>
    </row>
    <row r="116" spans="1:3" hidden="1" x14ac:dyDescent="0.35">
      <c r="A116" s="2" t="s">
        <v>497</v>
      </c>
      <c r="B116" s="2" t="s">
        <v>594</v>
      </c>
      <c r="C116" s="2" t="s">
        <v>287</v>
      </c>
    </row>
    <row r="117" spans="1:3" hidden="1" x14ac:dyDescent="0.35">
      <c r="A117" s="2" t="s">
        <v>538</v>
      </c>
      <c r="B117" s="2" t="s">
        <v>595</v>
      </c>
      <c r="C117" s="2" t="s">
        <v>287</v>
      </c>
    </row>
    <row r="118" spans="1:3" hidden="1" x14ac:dyDescent="0.35">
      <c r="A118" s="2" t="s">
        <v>562</v>
      </c>
      <c r="B118" s="2" t="s">
        <v>596</v>
      </c>
      <c r="C118" s="2" t="s">
        <v>287</v>
      </c>
    </row>
    <row r="119" spans="1:3" hidden="1" x14ac:dyDescent="0.35">
      <c r="A119" s="2" t="s">
        <v>547</v>
      </c>
      <c r="B119" s="2" t="s">
        <v>597</v>
      </c>
      <c r="C119" s="2" t="s">
        <v>287</v>
      </c>
    </row>
    <row r="120" spans="1:3" hidden="1" x14ac:dyDescent="0.35">
      <c r="A120" s="2" t="s">
        <v>539</v>
      </c>
      <c r="B120" s="2" t="s">
        <v>598</v>
      </c>
      <c r="C120" s="2" t="s">
        <v>287</v>
      </c>
    </row>
    <row r="121" spans="1:3" hidden="1" x14ac:dyDescent="0.35">
      <c r="A121" s="2" t="s">
        <v>521</v>
      </c>
      <c r="B121" s="2" t="s">
        <v>520</v>
      </c>
      <c r="C121" s="2" t="s">
        <v>287</v>
      </c>
    </row>
    <row r="122" spans="1:3" hidden="1" x14ac:dyDescent="0.35">
      <c r="A122" s="2" t="s">
        <v>599</v>
      </c>
      <c r="B122" s="2" t="s">
        <v>600</v>
      </c>
      <c r="C122" s="2" t="s">
        <v>287</v>
      </c>
    </row>
    <row r="123" spans="1:3" hidden="1" x14ac:dyDescent="0.35">
      <c r="A123" s="2" t="s">
        <v>542</v>
      </c>
      <c r="B123" s="2" t="s">
        <v>541</v>
      </c>
      <c r="C123" s="2" t="s">
        <v>287</v>
      </c>
    </row>
    <row r="124" spans="1:3" hidden="1" x14ac:dyDescent="0.35">
      <c r="A124" s="2" t="s">
        <v>504</v>
      </c>
      <c r="B124" s="2" t="s">
        <v>601</v>
      </c>
      <c r="C124" s="2" t="s">
        <v>287</v>
      </c>
    </row>
    <row r="125" spans="1:3" hidden="1" x14ac:dyDescent="0.35">
      <c r="A125" s="2" t="s">
        <v>516</v>
      </c>
      <c r="B125" s="2" t="s">
        <v>602</v>
      </c>
      <c r="C125" s="2" t="s">
        <v>287</v>
      </c>
    </row>
    <row r="126" spans="1:3" hidden="1" x14ac:dyDescent="0.35">
      <c r="A126" s="2" t="s">
        <v>589</v>
      </c>
      <c r="B126" s="2" t="s">
        <v>588</v>
      </c>
      <c r="C126" s="2" t="s">
        <v>287</v>
      </c>
    </row>
    <row r="127" spans="1:3" hidden="1" x14ac:dyDescent="0.35">
      <c r="A127" s="2" t="s">
        <v>603</v>
      </c>
      <c r="B127" s="2" t="s">
        <v>604</v>
      </c>
      <c r="C127" s="2" t="s">
        <v>287</v>
      </c>
    </row>
    <row r="128" spans="1:3" hidden="1" x14ac:dyDescent="0.35">
      <c r="A128" s="2" t="s">
        <v>533</v>
      </c>
      <c r="B128" s="2" t="s">
        <v>605</v>
      </c>
      <c r="C128" s="2" t="s">
        <v>287</v>
      </c>
    </row>
    <row r="129" spans="1:3" hidden="1" x14ac:dyDescent="0.35">
      <c r="A129" s="2" t="s">
        <v>606</v>
      </c>
      <c r="B129" s="2" t="s">
        <v>607</v>
      </c>
      <c r="C129" s="2" t="s">
        <v>287</v>
      </c>
    </row>
    <row r="130" spans="1:3" hidden="1" x14ac:dyDescent="0.35">
      <c r="A130" s="2" t="s">
        <v>513</v>
      </c>
      <c r="B130" s="2" t="s">
        <v>512</v>
      </c>
      <c r="C130" s="2" t="s">
        <v>287</v>
      </c>
    </row>
    <row r="131" spans="1:3" hidden="1" x14ac:dyDescent="0.35">
      <c r="A131" s="2" t="s">
        <v>586</v>
      </c>
      <c r="B131" s="2" t="s">
        <v>608</v>
      </c>
      <c r="C131" s="2" t="s">
        <v>287</v>
      </c>
    </row>
    <row r="132" spans="1:3" hidden="1" x14ac:dyDescent="0.35">
      <c r="A132" s="2" t="s">
        <v>524</v>
      </c>
      <c r="B132" s="2" t="s">
        <v>609</v>
      </c>
      <c r="C132" s="2" t="s">
        <v>287</v>
      </c>
    </row>
    <row r="133" spans="1:3" hidden="1" x14ac:dyDescent="0.35">
      <c r="A133" s="2" t="s">
        <v>610</v>
      </c>
      <c r="B133" s="2" t="s">
        <v>611</v>
      </c>
      <c r="C133" s="2" t="s">
        <v>287</v>
      </c>
    </row>
    <row r="134" spans="1:3" hidden="1" x14ac:dyDescent="0.35">
      <c r="A134" s="2" t="s">
        <v>509</v>
      </c>
      <c r="B134" s="2" t="s">
        <v>612</v>
      </c>
      <c r="C134" s="2" t="s">
        <v>287</v>
      </c>
    </row>
    <row r="135" spans="1:3" hidden="1" x14ac:dyDescent="0.35">
      <c r="A135" s="2" t="s">
        <v>510</v>
      </c>
      <c r="B135" s="2" t="s">
        <v>613</v>
      </c>
      <c r="C135" s="2" t="s">
        <v>287</v>
      </c>
    </row>
    <row r="136" spans="1:3" hidden="1" x14ac:dyDescent="0.35">
      <c r="A136" s="2" t="s">
        <v>614</v>
      </c>
      <c r="B136" s="2" t="s">
        <v>615</v>
      </c>
      <c r="C136" s="2" t="s">
        <v>287</v>
      </c>
    </row>
    <row r="137" spans="1:3" hidden="1" x14ac:dyDescent="0.35">
      <c r="A137" s="2" t="s">
        <v>616</v>
      </c>
      <c r="B137" s="2" t="s">
        <v>617</v>
      </c>
      <c r="C137" s="2" t="s">
        <v>287</v>
      </c>
    </row>
    <row r="138" spans="1:3" hidden="1" x14ac:dyDescent="0.35">
      <c r="A138" s="2" t="s">
        <v>583</v>
      </c>
      <c r="B138" s="2" t="s">
        <v>618</v>
      </c>
      <c r="C138" s="2" t="s">
        <v>287</v>
      </c>
    </row>
  </sheetData>
  <autoFilter ref="A1:C138" xr:uid="{00000000-0009-0000-0000-000016000000}">
    <filterColumn colId="2">
      <customFilters>
        <customFilter operator="notEqual" val=" "/>
      </customFilters>
    </filterColumn>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F0D147-48C7-49CB-B35B-053EEAFA377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Lynn</vt:lpstr>
      <vt:lpstr>ComplySum</vt:lpstr>
      <vt:lpstr>funccodes</vt:lpstr>
      <vt:lpstr>Lynn!Print_Area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Net School Spending (NSS) and Foundation Budget FY22 and FY23</dc:title>
  <dc:creator>DESE</dc:creator>
  <cp:lastModifiedBy>Zou, Dong (EOE)</cp:lastModifiedBy>
  <cp:lastPrinted>2023-02-16T01:56:29Z</cp:lastPrinted>
  <dcterms:created xsi:type="dcterms:W3CDTF">2017-01-06T15:17:18Z</dcterms:created>
  <dcterms:modified xsi:type="dcterms:W3CDTF">2023-06-07T17:11:54Z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adate">
    <vt:lpwstr>Jun 7 2023 12:00AM</vt:lpwstr>
  </property>
</Properties>
</file>